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SoA" sheetId="3" state="visible" r:id="rId5"/>
    <sheet name="Exclusions" sheetId="4" state="visible" r:id="rId6"/>
    <sheet name="Risk Register" sheetId="5" state="visible" r:id="rId7"/>
    <sheet name="Traceability" sheetId="6" state="visible" r:id="rId8"/>
    <sheet name="Evidence Index" sheetId="7" state="visible" r:id="rId9"/>
    <sheet name="Actions" sheetId="8" state="visible" r:id="rId10"/>
    <sheet name="Additional Controls" sheetId="9" state="visible" r:id="rId11"/>
  </sheets>
  <definedNames>
    <definedName function="false" hidden="true" localSheetId="6" name="_xlnm._FilterDatabase" vbProcedure="false">'Evidence Index'!$A$4:$G$54</definedName>
    <definedName function="false" hidden="false" localSheetId="2" name="_xlnm.Print_Titles" vbProcedure="false">SoA!$1:$1</definedName>
    <definedName function="false" hidden="true" localSheetId="2" name="_xlnm._FilterDatabase" vbProcedure="false">SoA!$A$1:$M$94</definedName>
    <definedName function="false" hidden="true" localSheetId="5" name="_xlnm._FilterDatabase" vbProcedure="false">Traceability!$A$4:$R$97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<sst xmlns="http://schemas.openxmlformats.org/spreadsheetml/2006/main" count="1942" uniqueCount="781">
  <si>
    <t xml:space="preserve">Progress Technologies</t>
  </si>
  <si>
    <t xml:space="preserve">Risk-Driven Statement of Applicability - ISO/IEC 27001:2022 (Working Workbook)</t>
  </si>
  <si>
    <t xml:space="preserve">Document ID</t>
  </si>
  <si>
    <t xml:space="preserve">PT-ISMS-SOA-001</t>
  </si>
  <si>
    <t xml:space="preserve">Version / status</t>
  </si>
  <si>
    <t xml:space="preserve">1.0 - Draft for management approval</t>
  </si>
  <si>
    <t xml:space="preserve">Date</t>
  </si>
  <si>
    <t xml:space="preserve">Author</t>
  </si>
  <si>
    <t xml:space="preserve">Devavrat Yadav</t>
  </si>
  <si>
    <t xml:space="preserve">Original author</t>
  </si>
  <si>
    <t xml:space="preserve">Taimuri Jlal - original project brief, scenario and SoA template (Project 02)</t>
  </si>
  <si>
    <t xml:space="preserve">Classification</t>
  </si>
  <si>
    <t xml:space="preserve">Confidential</t>
  </si>
  <si>
    <t xml:space="preserve">Next review</t>
  </si>
  <si>
    <t xml:space="preserve">Companion document</t>
  </si>
  <si>
    <t xml:space="preserve">Word report: Progress Technologies - Risk-Driven Statement of Applicability (sections 1-22)</t>
  </si>
  <si>
    <t xml:space="preserve">Sheets</t>
  </si>
  <si>
    <t xml:space="preserve">Summary</t>
  </si>
  <si>
    <t xml:space="preserve">Control counts by theme and status (live formulas from the SoA sheet)</t>
  </si>
  <si>
    <t xml:space="preserve">SoA</t>
  </si>
  <si>
    <t xml:space="preserve">All 93 Annex A controls: applicability, status, justification, evidence, linked risks, validation flag</t>
  </si>
  <si>
    <t xml:space="preserve">Exclusions</t>
  </si>
  <si>
    <t xml:space="preserve">10 excluded controls with reason, alternative measure and re-evaluation trigger</t>
  </si>
  <si>
    <t xml:space="preserve">Risk Register</t>
  </si>
  <si>
    <t xml:space="preserve">R-001 to R-013 with inherent and target residual ratings</t>
  </si>
  <si>
    <t xml:space="preserve">Traceability</t>
  </si>
  <si>
    <t xml:space="preserve">Control-by-risk grid with live coverage counts</t>
  </si>
  <si>
    <t xml:space="preserve">Evidence Index</t>
  </si>
  <si>
    <t xml:space="preserve">EV-01 to EV-50 with owner, system of record, cadence and live count of controls citing each</t>
  </si>
  <si>
    <t xml:space="preserve">Actions</t>
  </si>
  <si>
    <t xml:space="preserve">Priority remediation plan A-01 to A-20</t>
  </si>
  <si>
    <t xml:space="preserve">Additional Controls</t>
  </si>
  <si>
    <t xml:space="preserve">Controls beyond Annex A (clause 6.1.3 b)</t>
  </si>
  <si>
    <t xml:space="preserve">Important</t>
  </si>
  <si>
    <t xml:space="preserve">Statuses, owners and evidence artefacts are the author's assessed baseline derived from the scenario. They are not confirmed records.</t>
  </si>
  <si>
    <t xml:space="preserve">Never keep a control as Implemented unless its evidence can be produced on demand. Use the 'Evidence validated' column on the SoA sheet; any Implemented control not marked Yes is flagged.</t>
  </si>
  <si>
    <t xml:space="preserve">Yellow cells on the SoA sheet (owner, evidence validated) are for Progress Technologies to complete.</t>
  </si>
  <si>
    <t xml:space="preserve">Applicable, Status and Evidence validated are drop-down lists; Summary and Traceability counts recalculate when they change.</t>
  </si>
  <si>
    <t xml:space="preserve">Statement of Applicability Summary</t>
  </si>
  <si>
    <t xml:space="preserve">Live counts from the SoA sheet. Baseline at 26 October 2026.</t>
  </si>
  <si>
    <t xml:space="preserve">Theme</t>
  </si>
  <si>
    <t xml:space="preserve">Total</t>
  </si>
  <si>
    <t xml:space="preserve">Applicable</t>
  </si>
  <si>
    <t xml:space="preserve">Excluded</t>
  </si>
  <si>
    <t xml:space="preserve">Implemented</t>
  </si>
  <si>
    <t xml:space="preserve">Partial</t>
  </si>
  <si>
    <t xml:space="preserve">Planned</t>
  </si>
  <si>
    <t xml:space="preserve">5. Organizational</t>
  </si>
  <si>
    <t xml:space="preserve">6. People</t>
  </si>
  <si>
    <t xml:space="preserve">7. Physical</t>
  </si>
  <si>
    <t xml:space="preserve">8. Technological</t>
  </si>
  <si>
    <t xml:space="preserve">TOTAL</t>
  </si>
  <si>
    <t xml:space="preserve">Integrity checks</t>
  </si>
  <si>
    <t xml:space="preserve">Total controls = 93</t>
  </si>
  <si>
    <t xml:space="preserve">Applicable + excluded = total</t>
  </si>
  <si>
    <t xml:space="preserve">Implemented + partial + planned = applicable</t>
  </si>
  <si>
    <t xml:space="preserve">Implemented controls with evidence not yet validated</t>
  </si>
  <si>
    <t xml:space="preserve">Rows with status conflict</t>
  </si>
  <si>
    <t xml:space="preserve">Share of applicable controls</t>
  </si>
  <si>
    <t xml:space="preserve">Note: Implemented status is a baseline assumption pending the evidence walk-through (see Cover sheet).</t>
  </si>
  <si>
    <t xml:space="preserve">Ref</t>
  </si>
  <si>
    <t xml:space="preserve">Control</t>
  </si>
  <si>
    <t xml:space="preserve">Status</t>
  </si>
  <si>
    <t xml:space="preserve">Justification (risk link)</t>
  </si>
  <si>
    <t xml:space="preserve">Evidence Ref</t>
  </si>
  <si>
    <t xml:space="preserve">Linked risks</t>
  </si>
  <si>
    <t xml:space="preserve">Exclusion ref</t>
  </si>
  <si>
    <t xml:space="preserve">Remediation action</t>
  </si>
  <si>
    <t xml:space="preserve">Control owner</t>
  </si>
  <si>
    <t xml:space="preserve">Evidence validated</t>
  </si>
  <si>
    <t xml:space="preserve">Check</t>
  </si>
  <si>
    <t xml:space="preserve">5.1</t>
  </si>
  <si>
    <t xml:space="preserve">Policies for information security</t>
  </si>
  <si>
    <t xml:space="preserve">Yes</t>
  </si>
  <si>
    <t xml:space="preserve">Governance anchor of the ISMS (clause 5.2); direction for treating R-001 and R-003; customer contracts require a documented policy set.</t>
  </si>
  <si>
    <t xml:space="preserve">EV-01</t>
  </si>
  <si>
    <t xml:space="preserve">R-001, R-003</t>
  </si>
  <si>
    <t xml:space="preserve">Pending</t>
  </si>
  <si>
    <t xml:space="preserve">5.2</t>
  </si>
  <si>
    <t xml:space="preserve">Information security roles and responsibilities</t>
  </si>
  <si>
    <t xml:space="preserve">Names accountable owners for ISMS, risk and cloud security in a fully remote organisation (R-001, R-003, R-004).</t>
  </si>
  <si>
    <t xml:space="preserve">EV-03</t>
  </si>
  <si>
    <t xml:space="preserve">R-003, R-004</t>
  </si>
  <si>
    <t xml:space="preserve">5.3</t>
  </si>
  <si>
    <t xml:space="preserve">Segregation of duties</t>
  </si>
  <si>
    <t xml:space="preserve">Limits single-person misuse of production and admin rights (R-001, R-003, R-004). Peer-approved deployments operate; break-glass and small-team admin overlap need compensating review.</t>
  </si>
  <si>
    <t xml:space="preserve">EV-11, EV-27</t>
  </si>
  <si>
    <t xml:space="preserve">R-001, R-003, R-004</t>
  </si>
  <si>
    <t xml:space="preserve">n/a</t>
  </si>
  <si>
    <t xml:space="preserve">5.4</t>
  </si>
  <si>
    <t xml:space="preserve">Management responsibilities</t>
  </si>
  <si>
    <t xml:space="preserve">Management directs and enforces compliance across a remote workforce (R-004, R-007).</t>
  </si>
  <si>
    <t xml:space="preserve">EV-03, EV-04</t>
  </si>
  <si>
    <t xml:space="preserve">R-004, R-007</t>
  </si>
  <si>
    <t xml:space="preserve">5.5</t>
  </si>
  <si>
    <t xml:space="preserve">Contact with authorities</t>
  </si>
  <si>
    <t xml:space="preserve">Needed for GDPR breach notification and incident escalation (R-001, R-011). Contact list exists; escalation paths untested.</t>
  </si>
  <si>
    <t xml:space="preserve">EV-35</t>
  </si>
  <si>
    <t xml:space="preserve">R-011</t>
  </si>
  <si>
    <t xml:space="preserve">5.6</t>
  </si>
  <si>
    <t xml:space="preserve">Contact with special interest groups</t>
  </si>
  <si>
    <t xml:space="preserve">Low-cost source of cloud-threat and vulnerability bulletins (R-003, R-007). Memberships to be formalised.</t>
  </si>
  <si>
    <t xml:space="preserve">R-007</t>
  </si>
  <si>
    <t xml:space="preserve">5.7</t>
  </si>
  <si>
    <t xml:space="preserve">Threat intelligence</t>
  </si>
  <si>
    <t xml:space="preserve">Feeds R-003, R-007 and R-009 from AWS and vendor advisories. Triage SLA and reporting not yet formal.</t>
  </si>
  <si>
    <t xml:space="preserve">EV-34</t>
  </si>
  <si>
    <t xml:space="preserve">R-003, R-007, R-009</t>
  </si>
  <si>
    <t xml:space="preserve">5.8</t>
  </si>
  <si>
    <t xml:space="preserve">Information security in project management</t>
  </si>
  <si>
    <t xml:space="preserve">Security gate for new features and infrastructure changes (R-003, R-013). Gate not yet mandatory for every project type.</t>
  </si>
  <si>
    <t xml:space="preserve">EV-40</t>
  </si>
  <si>
    <t xml:space="preserve">R-003, R-013</t>
  </si>
  <si>
    <t xml:space="preserve">5.9</t>
  </si>
  <si>
    <t xml:space="preserve">Inventory of information and other associated assets</t>
  </si>
  <si>
    <t xml:space="preserve">Unknown assets cannot be protected (R-001, R-002, R-003). Laptops tracked in MDM and AWS resources in AWS Config; information asset owners incomplete.</t>
  </si>
  <si>
    <t xml:space="preserve">EV-07, EV-24</t>
  </si>
  <si>
    <t xml:space="preserve">R-002</t>
  </si>
  <si>
    <t xml:space="preserve">5.10</t>
  </si>
  <si>
    <t xml:space="preserve">Acceptable use of information and other associated assets</t>
  </si>
  <si>
    <t xml:space="preserve">Sets endpoint, SaaS and data-handling behaviour for remote staff (R-002, R-004, R-007); acknowledged at onboarding.</t>
  </si>
  <si>
    <t xml:space="preserve">EV-08</t>
  </si>
  <si>
    <t xml:space="preserve">R-002, R-004, R-007</t>
  </si>
  <si>
    <t xml:space="preserve">5.11</t>
  </si>
  <si>
    <t xml:space="preserve">Return of assets</t>
  </si>
  <si>
    <t xml:space="preserve">Prevents leavers retaining laptops or data (R-002, R-004). Courier return and reconciliation process used for remote leavers.</t>
  </si>
  <si>
    <t xml:space="preserve">EV-20, EV-24</t>
  </si>
  <si>
    <t xml:space="preserve">R-002, R-004</t>
  </si>
  <si>
    <t xml:space="preserve">5.12</t>
  </si>
  <si>
    <t xml:space="preserve">Classification of information</t>
  </si>
  <si>
    <t xml:space="preserve">Drives encryption, access and retention for customer data (R-001, R-011, R-012). Scheme approved; tagging of cloud data stores in progress.</t>
  </si>
  <si>
    <t xml:space="preserve">EV-09</t>
  </si>
  <si>
    <t xml:space="preserve">R-001, R-011, R-012</t>
  </si>
  <si>
    <t xml:space="preserve">5.13</t>
  </si>
  <si>
    <t xml:space="preserve">Labelling of information</t>
  </si>
  <si>
    <t xml:space="preserve">Proportionate labelling only: document footers and cloud resource tags (R-001, R-011). Automated tagging scheduled in Wave 1.</t>
  </si>
  <si>
    <t xml:space="preserve">A-07</t>
  </si>
  <si>
    <t xml:space="preserve">5.14</t>
  </si>
  <si>
    <t xml:space="preserve">Information transfer</t>
  </si>
  <si>
    <t xml:space="preserve">Controls transfer of customer and internal data via TLS, approved sharing tools and NDAs (R-001, R-011). Customer data export rules being finalised.</t>
  </si>
  <si>
    <t xml:space="preserve">EV-09, EV-30</t>
  </si>
  <si>
    <t xml:space="preserve">R-001, R-011</t>
  </si>
  <si>
    <t xml:space="preserve">5.15</t>
  </si>
  <si>
    <t xml:space="preserve">Access control</t>
  </si>
  <si>
    <t xml:space="preserve">Least-privilege, role-based access to AWS and SaaS (R-001, R-004).</t>
  </si>
  <si>
    <t xml:space="preserve">EV-10, EV-11</t>
  </si>
  <si>
    <t xml:space="preserve">R-001, R-004</t>
  </si>
  <si>
    <t xml:space="preserve">5.16</t>
  </si>
  <si>
    <t xml:space="preserve">Identity management</t>
  </si>
  <si>
    <t xml:space="preserve">Central identity provider with joiner-mover-leaver lifecycle (R-001, R-004).</t>
  </si>
  <si>
    <t xml:space="preserve">EV-11, EV-46</t>
  </si>
  <si>
    <t xml:space="preserve">5.17</t>
  </si>
  <si>
    <t xml:space="preserve">Authentication information</t>
  </si>
  <si>
    <t xml:space="preserve">Password manager, MFA and secrets manager for machine credentials (R-001, R-007, R-010).</t>
  </si>
  <si>
    <t xml:space="preserve">EV-44, EV-46</t>
  </si>
  <si>
    <t xml:space="preserve">R-001, R-007, R-010</t>
  </si>
  <si>
    <t xml:space="preserve">5.18</t>
  </si>
  <si>
    <t xml:space="preserve">Access rights</t>
  </si>
  <si>
    <t xml:space="preserve">Quarterly AWS access reviews operate; extension to all SaaS applications outstanding (R-001, R-004).</t>
  </si>
  <si>
    <t xml:space="preserve">EV-11</t>
  </si>
  <si>
    <t xml:space="preserve">A-09</t>
  </si>
  <si>
    <t xml:space="preserve">5.19</t>
  </si>
  <si>
    <t xml:space="preserve">Information security in supplier relationships</t>
  </si>
  <si>
    <t xml:space="preserve">AWS and other suppliers hold customer data or underpin the service (R-005, R-009). Supplier tiering in progress.</t>
  </si>
  <si>
    <t xml:space="preserve">EV-12</t>
  </si>
  <si>
    <t xml:space="preserve">R-005, R-009</t>
  </si>
  <si>
    <t xml:space="preserve">5.20</t>
  </si>
  <si>
    <t xml:space="preserve">Addressing information security within supplier agreements</t>
  </si>
  <si>
    <t xml:space="preserve">Security and data-protection terms with AWS and sub-processors (R-005, R-011). Customer flow-down clauses under review.</t>
  </si>
  <si>
    <t xml:space="preserve">EV-13</t>
  </si>
  <si>
    <t xml:space="preserve">R-005, R-011</t>
  </si>
  <si>
    <t xml:space="preserve">5.21</t>
  </si>
  <si>
    <t xml:space="preserve">Managing information security in the ICT supply chain</t>
  </si>
  <si>
    <t xml:space="preserve">Open-source dependencies and CI/CD tooling are the main ICT supply chain (R-009). Dependency scanning live; SBOM and formal standard not yet produced.</t>
  </si>
  <si>
    <t xml:space="preserve">EV-12, EV-26</t>
  </si>
  <si>
    <t xml:space="preserve">5.22</t>
  </si>
  <si>
    <t xml:space="preserve">Monitoring, review and change management of supplier services</t>
  </si>
  <si>
    <t xml:space="preserve">Ongoing assurance over AWS (R-005) and the evidence base for inherited physical controls. Annual review of AWS certificates and reports being scheduled.</t>
  </si>
  <si>
    <t xml:space="preserve">R-005</t>
  </si>
  <si>
    <t xml:space="preserve">A-04</t>
  </si>
  <si>
    <t xml:space="preserve">5.23</t>
  </si>
  <si>
    <t xml:space="preserve">Information security for use of cloud services</t>
  </si>
  <si>
    <t xml:space="preserve">Core control for a 100% AWS company: cloud security standard and shared-responsibility matrix define who secures what (R-003, R-005).</t>
  </si>
  <si>
    <t xml:space="preserve">EV-14, EV-31</t>
  </si>
  <si>
    <t xml:space="preserve">R-003, R-005</t>
  </si>
  <si>
    <t xml:space="preserve">5.24</t>
  </si>
  <si>
    <t xml:space="preserve">Information security incident management planning and preparation</t>
  </si>
  <si>
    <t xml:space="preserve">Defined incident roles, severity model and reporting channels (R-001, R-006).</t>
  </si>
  <si>
    <t xml:space="preserve">EV-15</t>
  </si>
  <si>
    <t xml:space="preserve">R-006</t>
  </si>
  <si>
    <t xml:space="preserve">5.25</t>
  </si>
  <si>
    <t xml:space="preserve">Assessment and decision on information security events</t>
  </si>
  <si>
    <t xml:space="preserve">Triage criteria defined; evidence of consistent event classification still thin (R-001, R-003).</t>
  </si>
  <si>
    <t xml:space="preserve">EV-15, EV-28</t>
  </si>
  <si>
    <t xml:space="preserve">R-003</t>
  </si>
  <si>
    <t xml:space="preserve">5.26</t>
  </si>
  <si>
    <t xml:space="preserve">Response to information security incidents</t>
  </si>
  <si>
    <t xml:space="preserve">Playbooks for cloud credential compromise and data exposure; not yet validated by a tabletop exercise (R-001, R-003, R-006, R-008).</t>
  </si>
  <si>
    <t xml:space="preserve">R-003, R-006, R-008</t>
  </si>
  <si>
    <t xml:space="preserve">A-15</t>
  </si>
  <si>
    <t xml:space="preserve">5.27</t>
  </si>
  <si>
    <t xml:space="preserve">Learning from information security incidents</t>
  </si>
  <si>
    <t xml:space="preserve">Post-incident review template exists; limited operating history to evidence (R-003, R-006).</t>
  </si>
  <si>
    <t xml:space="preserve">5.28</t>
  </si>
  <si>
    <t xml:space="preserve">Collection of evidence</t>
  </si>
  <si>
    <t xml:space="preserve">Forensic readiness (log retention, snapshot and chain-of-custody procedure) needed for customer and regulator enquiries (R-001, R-004).</t>
  </si>
  <si>
    <t xml:space="preserve">R-004</t>
  </si>
  <si>
    <t xml:space="preserve">A-08</t>
  </si>
  <si>
    <t xml:space="preserve">5.29</t>
  </si>
  <si>
    <t xml:space="preserve">Information security during disruption</t>
  </si>
  <si>
    <t xml:space="preserve">Keeps security controls effective during outage and failover (R-005, R-006, R-008).</t>
  </si>
  <si>
    <t xml:space="preserve">EV-16</t>
  </si>
  <si>
    <t xml:space="preserve">R-005, R-006, R-008</t>
  </si>
  <si>
    <t xml:space="preserve">5.30</t>
  </si>
  <si>
    <t xml:space="preserve">ICT readiness for business continuity</t>
  </si>
  <si>
    <t xml:space="preserve">Multi-AZ design in place; cross-region recovery test pending (R-005, R-006, R-008).</t>
  </si>
  <si>
    <t xml:space="preserve">EV-16, EV-29</t>
  </si>
  <si>
    <t xml:space="preserve">A-18</t>
  </si>
  <si>
    <t xml:space="preserve">5.31</t>
  </si>
  <si>
    <t xml:space="preserve">Legal, statutory, regulatory and contractual requirements</t>
  </si>
  <si>
    <t xml:space="preserve">200+ enterprise contracts, GDPR processing in eu-west-1 and customer security addenda tracked in a register (R-011).</t>
  </si>
  <si>
    <t xml:space="preserve">EV-17</t>
  </si>
  <si>
    <t xml:space="preserve">5.32</t>
  </si>
  <si>
    <t xml:space="preserve">Intellectual property rights</t>
  </si>
  <si>
    <t xml:space="preserve">Software and open-source licence compliance for platform code (R-009). Licence register and scanning to be completed.</t>
  </si>
  <si>
    <t xml:space="preserve">EV-42</t>
  </si>
  <si>
    <t xml:space="preserve">R-009</t>
  </si>
  <si>
    <t xml:space="preserve">5.33</t>
  </si>
  <si>
    <t xml:space="preserve">Protection of records</t>
  </si>
  <si>
    <t xml:space="preserve">Protects audit trails, contracts and security records (R-011, R-012). Retention schedule approved; immutable log storage being rolled out.</t>
  </si>
  <si>
    <t xml:space="preserve">EV-41</t>
  </si>
  <si>
    <t xml:space="preserve">R-011, R-012</t>
  </si>
  <si>
    <t xml:space="preserve">5.34</t>
  </si>
  <si>
    <t xml:space="preserve">Privacy and protection of PII</t>
  </si>
  <si>
    <t xml:space="preserve">Progress acts as processor of customer personal data (R-011, R-012). RoPA, DPAs and DSAR procedure operate; DPIA coverage incomplete.</t>
  </si>
  <si>
    <t xml:space="preserve">EV-18</t>
  </si>
  <si>
    <t xml:space="preserve">5.35</t>
  </si>
  <si>
    <t xml:space="preserve">Independent review of information security</t>
  </si>
  <si>
    <t xml:space="preserve">Independent assurance on ISMS design and operation (clause 9.2). First internal audit scheduled before Stage 1.</t>
  </si>
  <si>
    <t xml:space="preserve">EV-19</t>
  </si>
  <si>
    <t xml:space="preserve">A-20</t>
  </si>
  <si>
    <t xml:space="preserve">5.36</t>
  </si>
  <si>
    <t xml:space="preserve">Compliance with policies, rules and standards for information security</t>
  </si>
  <si>
    <t xml:space="preserve">Checked through AWS Config and MDM compliance reports (R-003, R-004); manager attestation cycle not yet running.</t>
  </si>
  <si>
    <t xml:space="preserve">EV-19, EV-23, EV-31</t>
  </si>
  <si>
    <t xml:space="preserve">5.37</t>
  </si>
  <si>
    <t xml:space="preserve">Documented operating procedures</t>
  </si>
  <si>
    <t xml:space="preserve">Runbooks for deployment, access, incident and backup held in the wiki (R-003, R-006); ownership and review dates incomplete.</t>
  </si>
  <si>
    <t xml:space="preserve">EV-39</t>
  </si>
  <si>
    <t xml:space="preserve">R-003, R-006</t>
  </si>
  <si>
    <t xml:space="preserve">6.1</t>
  </si>
  <si>
    <t xml:space="preserve">Screening</t>
  </si>
  <si>
    <t xml:space="preserve">Background checks proportionate to access to customer data (R-004), within local employment law.</t>
  </si>
  <si>
    <t xml:space="preserve">EV-20</t>
  </si>
  <si>
    <t xml:space="preserve">6.2</t>
  </si>
  <si>
    <t xml:space="preserve">Terms and conditions of employment</t>
  </si>
  <si>
    <t xml:space="preserve">Contracts bind staff to security duties, including remote-working obligations (R-004).</t>
  </si>
  <si>
    <t xml:space="preserve">6.3</t>
  </si>
  <si>
    <t xml:space="preserve">Information security awareness, education and training</t>
  </si>
  <si>
    <t xml:space="preserve">Annual awareness and phishing simulation run (R-004, R-007); role-based secure-coding and cloud-admin training planned.</t>
  </si>
  <si>
    <t xml:space="preserve">EV-21</t>
  </si>
  <si>
    <t xml:space="preserve">A-19</t>
  </si>
  <si>
    <t xml:space="preserve">6.4</t>
  </si>
  <si>
    <t xml:space="preserve">Disciplinary process</t>
  </si>
  <si>
    <t xml:space="preserve">Formal sanction process deters policy breaches (R-004).</t>
  </si>
  <si>
    <t xml:space="preserve">6.5</t>
  </si>
  <si>
    <t xml:space="preserve">Responsibilities after termination or change of employment</t>
  </si>
  <si>
    <t xml:space="preserve">Leaver and mover checklist covers access removal, asset return and continuing confidentiality (R-002, R-004).</t>
  </si>
  <si>
    <t xml:space="preserve">6.6</t>
  </si>
  <si>
    <t xml:space="preserve">Confidentiality or non-disclosure agreements</t>
  </si>
  <si>
    <t xml:space="preserve">NDAs for staff, contractors, customers and suppliers (R-004, R-011).</t>
  </si>
  <si>
    <t xml:space="preserve">EV-20, EV-13</t>
  </si>
  <si>
    <t xml:space="preserve">R-004, R-011</t>
  </si>
  <si>
    <t xml:space="preserve">6.7</t>
  </si>
  <si>
    <t xml:space="preserve">Remote working</t>
  </si>
  <si>
    <t xml:space="preserve">The entire workforce is remote, so this is central to scope (R-001, R-002, R-007). Remote working standard issued; home-network guidance and spot-check programme still maturing.</t>
  </si>
  <si>
    <t xml:space="preserve">EV-22, EV-23</t>
  </si>
  <si>
    <t xml:space="preserve">R-001, R-002, R-007</t>
  </si>
  <si>
    <t xml:space="preserve">6.8</t>
  </si>
  <si>
    <t xml:space="preserve">Information security event reporting</t>
  </si>
  <si>
    <t xml:space="preserve">One channel (security mailbox and chat channel) for loss, phishing and suspicious activity, with reporting statistics (R-002, R-007).</t>
  </si>
  <si>
    <t xml:space="preserve">EV-50</t>
  </si>
  <si>
    <t xml:space="preserve">R-002, R-007</t>
  </si>
  <si>
    <t xml:space="preserve">7.1</t>
  </si>
  <si>
    <t xml:space="preserve">Physical security perimeters</t>
  </si>
  <si>
    <t xml:space="preserve">No</t>
  </si>
  <si>
    <t xml:space="preserve">N/A</t>
  </si>
  <si>
    <t xml:space="preserve">EXCLUDED. Progress controls no premises or secure perimeter; all staff work remotely and production runs in AWS. Residual laptop risk (R-002) treated by 8.1 and 7.9.</t>
  </si>
  <si>
    <t xml:space="preserve">EV-43</t>
  </si>
  <si>
    <t xml:space="preserve">ED-01</t>
  </si>
  <si>
    <t xml:space="preserve">7.2</t>
  </si>
  <si>
    <t xml:space="preserve">Physical entry</t>
  </si>
  <si>
    <t xml:space="preserve">EXCLUDED. No facilities with entry points. Access to information is controlled logically through 5.15, 5.18 and 8.5.</t>
  </si>
  <si>
    <t xml:space="preserve">7.3</t>
  </si>
  <si>
    <t xml:space="preserve">Securing offices, rooms and facilities</t>
  </si>
  <si>
    <t xml:space="preserve">EXCLUDED. No offices, rooms or facilities. Employee homes are not company facilities; their risk is treated by 6.7, 7.7 and 7.9.</t>
  </si>
  <si>
    <t xml:space="preserve">7.4</t>
  </si>
  <si>
    <t xml:space="preserve">Physical security monitoring</t>
  </si>
  <si>
    <t xml:space="preserve">EXCLUDED. No premises to monitor. AWS monitors its data centres; assurance obtained under 5.22; logical monitoring by 8.15 and 8.16.</t>
  </si>
  <si>
    <t xml:space="preserve">EV-12, EV-43</t>
  </si>
  <si>
    <t xml:space="preserve">ED-02</t>
  </si>
  <si>
    <t xml:space="preserve">7.5</t>
  </si>
  <si>
    <t xml:space="preserve">Protecting against physical and environmental threats</t>
  </si>
  <si>
    <t xml:space="preserve">EXCLUDED. No company site exposed to fire, flood or power loss. AWS Availability Zone design inherited (R-005); service impact treated by 5.29, 5.30 and 8.14 (R-006).</t>
  </si>
  <si>
    <t xml:space="preserve">7.6</t>
  </si>
  <si>
    <t xml:space="preserve">Working in secure areas</t>
  </si>
  <si>
    <t xml:space="preserve">EXCLUDED. No secure areas exist. Sensitive work is protected logically through 8.2 and 8.3.</t>
  </si>
  <si>
    <t xml:space="preserve">7.7</t>
  </si>
  <si>
    <t xml:space="preserve">Clear desk and clear screen</t>
  </si>
  <si>
    <t xml:space="preserve">Applies to remote workers in homes, cafes and travel (R-001, R-002, R-007). MDM enforces auto-lock; clear-desk guidance in the remote working standard; no-printing rule.</t>
  </si>
  <si>
    <t xml:space="preserve">7.8</t>
  </si>
  <si>
    <t xml:space="preserve">Equipment siting and protection</t>
  </si>
  <si>
    <t xml:space="preserve">EXCLUDED. No company equipment is sited in company premises; servers are AWS-operated. Endpoint protection covered by 7.9 and 8.1.</t>
  </si>
  <si>
    <t xml:space="preserve">EV-24, EV-43</t>
  </si>
  <si>
    <t xml:space="preserve">ED-03</t>
  </si>
  <si>
    <t xml:space="preserve">7.9</t>
  </si>
  <si>
    <t xml:space="preserve">Security of assets off-premises</t>
  </si>
  <si>
    <t xml:space="preserve">Primary physical control for the business: laptops are the only company-owned assets outside AWS and are always off-premises (R-002). Full-disk encryption, remote wipe and travel guidance enforced.</t>
  </si>
  <si>
    <t xml:space="preserve">EV-23, EV-24</t>
  </si>
  <si>
    <t xml:space="preserve">7.10</t>
  </si>
  <si>
    <t xml:space="preserve">Storage media</t>
  </si>
  <si>
    <t xml:space="preserve">Laptops and removable media can carry customer-adjacent data (R-002, R-004). USB mass storage restricted by MDM policy; formal media handling rules being finalised.</t>
  </si>
  <si>
    <t xml:space="preserve">7.11</t>
  </si>
  <si>
    <t xml:space="preserve">Supporting utilities</t>
  </si>
  <si>
    <t xml:space="preserve">EXCLUDED. No company site with power, cooling or telecoms. AWS provides resilient utilities for the hosting layer (R-005, R-006).</t>
  </si>
  <si>
    <t xml:space="preserve">7.12</t>
  </si>
  <si>
    <t xml:space="preserve">Cabling security</t>
  </si>
  <si>
    <t xml:space="preserve">EXCLUDED. Progress owns no cabling; networks are home ISPs and AWS. Data in transit protected by 8.24.</t>
  </si>
  <si>
    <t xml:space="preserve">7.13</t>
  </si>
  <si>
    <t xml:space="preserve">Equipment maintenance</t>
  </si>
  <si>
    <t xml:space="preserve">Laptop repair, firmware and warranty servicing must not expose data (R-002). Approved repair route with encrypted disks; firmware patching via MDM.</t>
  </si>
  <si>
    <t xml:space="preserve">7.14</t>
  </si>
  <si>
    <t xml:space="preserve">Secure disposal or re-use of equipment</t>
  </si>
  <si>
    <t xml:space="preserve">End-of-life laptops must be wiped and certified (R-002, R-011, R-012). Cloud media sanitisation inherited from AWS; disposal certificates being collected.</t>
  </si>
  <si>
    <t xml:space="preserve">EV-24, EV-33</t>
  </si>
  <si>
    <t xml:space="preserve">R-002, R-011, R-012</t>
  </si>
  <si>
    <t xml:space="preserve">8.1</t>
  </si>
  <si>
    <t xml:space="preserve">User endpoint devices</t>
  </si>
  <si>
    <t xml:space="preserve">Laptops are the main access point to customer-adjacent systems (R-001, R-002, R-007). MDM enforces encryption, patching, EDR and screen lock.</t>
  </si>
  <si>
    <t xml:space="preserve">EV-23</t>
  </si>
  <si>
    <t xml:space="preserve">8.2</t>
  </si>
  <si>
    <t xml:space="preserve">Privileged access rights</t>
  </si>
  <si>
    <t xml:space="preserve">Admin rights to AWS accounts concentrated in few roles (R-001, R-003, R-004). Just-in-time elevation and periodic review being completed.</t>
  </si>
  <si>
    <t xml:space="preserve">A-16</t>
  </si>
  <si>
    <t xml:space="preserve">8.3</t>
  </si>
  <si>
    <t xml:space="preserve">Information access restriction</t>
  </si>
  <si>
    <t xml:space="preserve">Restricts customer data to authorised roles and service identities through IAM, resource policies and per-account separation (R-001, R-004).</t>
  </si>
  <si>
    <t xml:space="preserve">EV-11, EV-37</t>
  </si>
  <si>
    <t xml:space="preserve">8.4</t>
  </si>
  <si>
    <t xml:space="preserve">Access to source code</t>
  </si>
  <si>
    <t xml:space="preserve">Source code and infrastructure-as-code are core IP and the path to production (R-004, R-009, R-010). Organisation SSO, branch protection and least-privilege repositories.</t>
  </si>
  <si>
    <t xml:space="preserve">EV-26</t>
  </si>
  <si>
    <t xml:space="preserve">R-004, R-009, R-010</t>
  </si>
  <si>
    <t xml:space="preserve">8.5</t>
  </si>
  <si>
    <t xml:space="preserve">Secure authentication</t>
  </si>
  <si>
    <t xml:space="preserve">SSO with MFA for all users and stronger methods for administrators; conditional access (R-001, R-007, R-013).</t>
  </si>
  <si>
    <t xml:space="preserve">EV-46</t>
  </si>
  <si>
    <t xml:space="preserve">R-001, R-007, R-013</t>
  </si>
  <si>
    <t xml:space="preserve">8.6</t>
  </si>
  <si>
    <t xml:space="preserve">Capacity management</t>
  </si>
  <si>
    <t xml:space="preserve">Platform availability under customer load (R-006, R-013). Auto-scaling and dashboards exist; capacity forecasting not formal.</t>
  </si>
  <si>
    <t xml:space="preserve">EV-36</t>
  </si>
  <si>
    <t xml:space="preserve">R-006, R-013</t>
  </si>
  <si>
    <t xml:space="preserve">8.7</t>
  </si>
  <si>
    <t xml:space="preserve">Protection against malware</t>
  </si>
  <si>
    <t xml:space="preserve">EDR and anti-malware on all laptops; workload protection in AWS (R-007, R-008).</t>
  </si>
  <si>
    <t xml:space="preserve">R-007, R-008</t>
  </si>
  <si>
    <t xml:space="preserve">8.8</t>
  </si>
  <si>
    <t xml:space="preserve">Management of technical vulnerabilities</t>
  </si>
  <si>
    <t xml:space="preserve">Scanning of hosts, containers and dependencies (R-003, R-008, R-009). Remediation SLAs and reporting not yet consistently evidenced.</t>
  </si>
  <si>
    <t xml:space="preserve">EV-25</t>
  </si>
  <si>
    <t xml:space="preserve">R-003, R-008, R-009</t>
  </si>
  <si>
    <t xml:space="preserve">A-12</t>
  </si>
  <si>
    <t xml:space="preserve">8.9</t>
  </si>
  <si>
    <t xml:space="preserve">Configuration management</t>
  </si>
  <si>
    <t xml:space="preserve">Treats R-003 (Critical) and R-010: baselines via infrastructure-as-code and AWS Config rules. Drift remediation, exception process and secrets-in-config checks still maturing.</t>
  </si>
  <si>
    <t xml:space="preserve">EV-31</t>
  </si>
  <si>
    <t xml:space="preserve">R-003, R-010</t>
  </si>
  <si>
    <t xml:space="preserve">A-10</t>
  </si>
  <si>
    <t xml:space="preserve">8.10</t>
  </si>
  <si>
    <t xml:space="preserve">Information deletion</t>
  </si>
  <si>
    <t xml:space="preserve">Deletion of customer data at contract end and of data on retired laptops (R-011, R-012). Offboarding runbook exists; deletion verification evidence limited.</t>
  </si>
  <si>
    <t xml:space="preserve">EV-33</t>
  </si>
  <si>
    <t xml:space="preserve">8.11</t>
  </si>
  <si>
    <t xml:space="preserve">Data masking</t>
  </si>
  <si>
    <t xml:space="preserve">Analytics datasets need masking in non-production and support access (R-001, R-011). Design approved; implementation scheduled in Wave 1.</t>
  </si>
  <si>
    <t xml:space="preserve">EV-38</t>
  </si>
  <si>
    <t xml:space="preserve">A-13</t>
  </si>
  <si>
    <t xml:space="preserve">8.12</t>
  </si>
  <si>
    <t xml:space="preserve">Data leakage prevention</t>
  </si>
  <si>
    <t xml:space="preserve">Prevents exfiltration through insiders or misconfiguration (R-001, R-003, R-004). S3 public-access blocks exist; endpoint and egress DLP planned.</t>
  </si>
  <si>
    <t xml:space="preserve">EV-49</t>
  </si>
  <si>
    <t xml:space="preserve">A-17</t>
  </si>
  <si>
    <t xml:space="preserve">8.13</t>
  </si>
  <si>
    <t xml:space="preserve">Information backup</t>
  </si>
  <si>
    <t xml:space="preserve">AWS Backup policies configured with encryption and retention aligned to contracts (R-006, R-008, R-012). Scheduled restore-test evidence missing.</t>
  </si>
  <si>
    <t xml:space="preserve">EV-29</t>
  </si>
  <si>
    <t xml:space="preserve">R-006, R-008, R-012</t>
  </si>
  <si>
    <t xml:space="preserve">8.14</t>
  </si>
  <si>
    <t xml:space="preserve">Redundancy of information processing facilities</t>
  </si>
  <si>
    <t xml:space="preserve">Multi-AZ architecture for production services (R-005, R-006, R-008).</t>
  </si>
  <si>
    <t xml:space="preserve">EV-16, EV-32</t>
  </si>
  <si>
    <t xml:space="preserve">8.15</t>
  </si>
  <si>
    <t xml:space="preserve">Logging</t>
  </si>
  <si>
    <t xml:space="preserve">CloudTrail, VPC flow logs, application and identity-provider logs centralised (R-001, R-003, R-004, R-013).</t>
  </si>
  <si>
    <t xml:space="preserve">EV-28</t>
  </si>
  <si>
    <t xml:space="preserve">R-001, R-003, R-004, R-013</t>
  </si>
  <si>
    <t xml:space="preserve">8.16</t>
  </si>
  <si>
    <t xml:space="preserve">Monitoring activities</t>
  </si>
  <si>
    <t xml:space="preserve">GuardDuty and Security Hub alerts reviewed (R-001, R-003, R-004, R-007). Alert tuning and out-of-hours response still maturing.</t>
  </si>
  <si>
    <t xml:space="preserve">R-001, R-003, R-004, R-007</t>
  </si>
  <si>
    <t xml:space="preserve">A-11</t>
  </si>
  <si>
    <t xml:space="preserve">8.17</t>
  </si>
  <si>
    <t xml:space="preserve">Clock synchronization</t>
  </si>
  <si>
    <t xml:space="preserve">Systems use AWS Time Sync, giving reliable log correlation for investigations (R-001).</t>
  </si>
  <si>
    <t xml:space="preserve">EV-47</t>
  </si>
  <si>
    <t xml:space="preserve">R-001</t>
  </si>
  <si>
    <t xml:space="preserve">8.18</t>
  </si>
  <si>
    <t xml:space="preserve">Use of privileged utility programs</t>
  </si>
  <si>
    <t xml:space="preserve">Admin tools (session manager, CLI, database consoles) can bypass application controls (R-001, R-004). Use is restricted and logged; formal tool inventory pending.</t>
  </si>
  <si>
    <t xml:space="preserve">EV-11, EV-28</t>
  </si>
  <si>
    <t xml:space="preserve">8.19</t>
  </si>
  <si>
    <t xml:space="preserve">Installation of software on operational systems</t>
  </si>
  <si>
    <t xml:space="preserve">Production software deployed only through CI/CD from reviewed code (R-003, R-009, R-010); endpoint software governed by MDM.</t>
  </si>
  <si>
    <t xml:space="preserve">EV-26, EV-31</t>
  </si>
  <si>
    <t xml:space="preserve">R-003, R-009, R-010</t>
  </si>
  <si>
    <t xml:space="preserve">8.20</t>
  </si>
  <si>
    <t xml:space="preserve">Networks security</t>
  </si>
  <si>
    <t xml:space="preserve">VPC design, security groups and WAF protect API endpoints (R-001, R-003, R-013).</t>
  </si>
  <si>
    <t xml:space="preserve">EV-32</t>
  </si>
  <si>
    <t xml:space="preserve">R-001, R-003, R-013</t>
  </si>
  <si>
    <t xml:space="preserve">8.21</t>
  </si>
  <si>
    <t xml:space="preserve">Security of network services</t>
  </si>
  <si>
    <t xml:space="preserve">Relies on AWS network services and their assurance (R-005, R-013). Service security requirements documented; supplier evidence review ongoing.</t>
  </si>
  <si>
    <t xml:space="preserve">EV-32, EV-12</t>
  </si>
  <si>
    <t xml:space="preserve">R-005, R-013</t>
  </si>
  <si>
    <t xml:space="preserve">8.22</t>
  </si>
  <si>
    <t xml:space="preserve">Segregation of networks</t>
  </si>
  <si>
    <t xml:space="preserve">Separate AWS accounts and VPC segments for production and non-production (R-001, R-003, R-008).</t>
  </si>
  <si>
    <t xml:space="preserve">EV-32, EV-37</t>
  </si>
  <si>
    <t xml:space="preserve">R-001, R-003, R-008</t>
  </si>
  <si>
    <t xml:space="preserve">8.23</t>
  </si>
  <si>
    <t xml:space="preserve">Web filtering</t>
  </si>
  <si>
    <t xml:space="preserve">Reduces phishing and malware exposure on remote laptops (R-007). DNS filtering through MDM scheduled in Wave 1.</t>
  </si>
  <si>
    <t xml:space="preserve">EV-45</t>
  </si>
  <si>
    <t xml:space="preserve">A-06</t>
  </si>
  <si>
    <t xml:space="preserve">8.24</t>
  </si>
  <si>
    <t xml:space="preserve">Use of cryptography</t>
  </si>
  <si>
    <t xml:space="preserve">Encryption at rest and in transit using AWS KMS keys (R-001, R-002, R-005). Progress generates no keys but defines key use, rotation and access rules.</t>
  </si>
  <si>
    <t xml:space="preserve">EV-30</t>
  </si>
  <si>
    <t xml:space="preserve">R-001, R-002, R-005</t>
  </si>
  <si>
    <t xml:space="preserve">8.25</t>
  </si>
  <si>
    <t xml:space="preserve">Secure development life cycle</t>
  </si>
  <si>
    <t xml:space="preserve">Defines security activities from design to release (R-003, R-009, R-013).</t>
  </si>
  <si>
    <t xml:space="preserve">R-003, R-009, R-013</t>
  </si>
  <si>
    <t xml:space="preserve">8.26</t>
  </si>
  <si>
    <t xml:space="preserve">Application security requirements</t>
  </si>
  <si>
    <t xml:space="preserve">API-only product: authentication, authorisation, rate limiting and input validation requirements (R-001, R-013). Documented requirement set still being completed.</t>
  </si>
  <si>
    <t xml:space="preserve">R-001, R-013</t>
  </si>
  <si>
    <t xml:space="preserve">8.27</t>
  </si>
  <si>
    <t xml:space="preserve">Secure system architecture and engineering principles</t>
  </si>
  <si>
    <t xml:space="preserve">Secure-by-design patterns for AWS (R-003, R-013). Principles exist; threat modelling not yet routine.</t>
  </si>
  <si>
    <t xml:space="preserve">EV-14, EV-32</t>
  </si>
  <si>
    <t xml:space="preserve">8.28</t>
  </si>
  <si>
    <t xml:space="preserve">Secure coding</t>
  </si>
  <si>
    <t xml:space="preserve">Secure coding standard, peer review, SAST and secret scanning (R-009, R-010, R-013). Developer role-based training links to 6.3.</t>
  </si>
  <si>
    <t xml:space="preserve">R-009, R-010, R-013</t>
  </si>
  <si>
    <t xml:space="preserve">8.29</t>
  </si>
  <si>
    <t xml:space="preserve">Security testing in development and acceptance</t>
  </si>
  <si>
    <t xml:space="preserve">SAST, SCA and DAST in pipeline plus annual third-party penetration test (R-009, R-010, R-013). Acceptance criteria not formalised.</t>
  </si>
  <si>
    <t xml:space="preserve">EV-25, EV-26</t>
  </si>
  <si>
    <t xml:space="preserve">8.30</t>
  </si>
  <si>
    <t xml:space="preserve">Outsourced development</t>
  </si>
  <si>
    <t xml:space="preserve">EXCLUDED. All code is written in-house. Contractors or agencies would trigger re-evaluation; 8.25, 8.28 and 5.19-5.21 are the fall-back controls.</t>
  </si>
  <si>
    <t xml:space="preserve">ED-04</t>
  </si>
  <si>
    <t xml:space="preserve">8.31</t>
  </si>
  <si>
    <t xml:space="preserve">Separation of development, test and production environments</t>
  </si>
  <si>
    <t xml:space="preserve">Separate AWS accounts keep untested change and customer data out of lower environments (R-001, R-003).</t>
  </si>
  <si>
    <t xml:space="preserve">EV-37</t>
  </si>
  <si>
    <t xml:space="preserve">8.32</t>
  </si>
  <si>
    <t xml:space="preserve">Change management</t>
  </si>
  <si>
    <t xml:space="preserve">Pull-request approval, CI checks and change records for infrastructure and application (R-003).</t>
  </si>
  <si>
    <t xml:space="preserve">EV-27</t>
  </si>
  <si>
    <t xml:space="preserve">8.33</t>
  </si>
  <si>
    <t xml:space="preserve">Test information</t>
  </si>
  <si>
    <t xml:space="preserve">Test data must not contain real customer data without safeguards (R-001, R-011). Policy approved; synthetic data tooling planned.</t>
  </si>
  <si>
    <t xml:space="preserve">A-14</t>
  </si>
  <si>
    <t xml:space="preserve">8.34</t>
  </si>
  <si>
    <t xml:space="preserve">Protection of information systems during audit testing</t>
  </si>
  <si>
    <t xml:space="preserve">Audits, scans and penetration tests on production must not disrupt service or expose data (R-001, R-006). Audit-testing protocol to be written.</t>
  </si>
  <si>
    <t xml:space="preserve">EV-48</t>
  </si>
  <si>
    <t xml:space="preserve">A-05</t>
  </si>
  <si>
    <t xml:space="preserve">Exclusion Register</t>
  </si>
  <si>
    <t xml:space="preserve">Each exclusion passed the five-part test: subject absent, no dependent risk, alternative named, inheritance evidenced, trigger defined.</t>
  </si>
  <si>
    <t xml:space="preserve">Dossier</t>
  </si>
  <si>
    <t xml:space="preserve">Reason for exclusion</t>
  </si>
  <si>
    <t xml:space="preserve">Alternative or inherited measure</t>
  </si>
  <si>
    <t xml:space="preserve">Re-evaluation trigger</t>
  </si>
  <si>
    <t xml:space="preserve">Evidence</t>
  </si>
  <si>
    <t xml:space="preserve">No company premises; remote-first since founding</t>
  </si>
  <si>
    <t xml:space="preserve">8.1, 7.9; AWS data-centre perimeters via 5.22</t>
  </si>
  <si>
    <t xml:space="preserve">Lease or ownership of any premises</t>
  </si>
  <si>
    <t xml:space="preserve">No facilities with entry points</t>
  </si>
  <si>
    <t xml:space="preserve">5.15, 5.18, 8.5 (logical access)</t>
  </si>
  <si>
    <t xml:space="preserve">Any premises or shared workspace holding company assets</t>
  </si>
  <si>
    <t xml:space="preserve">No offices, rooms or facilities; home offices are not company facilities</t>
  </si>
  <si>
    <t xml:space="preserve">6.7, 7.7, 7.9, 8.1</t>
  </si>
  <si>
    <t xml:space="preserve">Company-controlled office, storage room or lab</t>
  </si>
  <si>
    <t xml:space="preserve">No premises to monitor; AWS monitors its data centres</t>
  </si>
  <si>
    <t xml:space="preserve">8.15, 8.16; AWS assurance via 5.22</t>
  </si>
  <si>
    <t xml:space="preserve">Loss of AWS assurance evidence or move to non-AWS hosting</t>
  </si>
  <si>
    <t xml:space="preserve">No company site; hosting threats inherited from AWS AZ design</t>
  </si>
  <si>
    <t xml:space="preserve">5.29, 5.30, 8.14; AWS assurance via 5.22</t>
  </si>
  <si>
    <t xml:space="preserve">Move to single-AZ or non-AWS hosting; AWS assurance gap</t>
  </si>
  <si>
    <t xml:space="preserve">No secure areas exist</t>
  </si>
  <si>
    <t xml:space="preserve">8.2, 8.3 (logical segregation of sensitive work)</t>
  </si>
  <si>
    <t xml:space="preserve">Creation of a secure room or lab</t>
  </si>
  <si>
    <t xml:space="preserve">No company equipment sited on company premises</t>
  </si>
  <si>
    <t xml:space="preserve">7.9, 8.1; AWS-operated servers</t>
  </si>
  <si>
    <t xml:space="preserve">Any on-premises server, network or storage equipment</t>
  </si>
  <si>
    <t xml:space="preserve">No company site with power, cooling or telecoms; AWS provides hosting utilities</t>
  </si>
  <si>
    <t xml:space="preserve">5.30, 8.14; AWS assurance via 5.22</t>
  </si>
  <si>
    <t xml:space="preserve">Any company-operated site or equipment room</t>
  </si>
  <si>
    <t xml:space="preserve">Progress owns no cabling; networks are home ISPs and AWS</t>
  </si>
  <si>
    <t xml:space="preserve">8.24 (encryption in transit), 8.20</t>
  </si>
  <si>
    <t xml:space="preserve">Any company-owned network infrastructure</t>
  </si>
  <si>
    <t xml:space="preserve">All development is performed by employees</t>
  </si>
  <si>
    <t xml:space="preserve">8.25, 8.28, 5.19-5.21 as fall-back</t>
  </si>
  <si>
    <t xml:space="preserve">Use of any external developer, agency or offshore team</t>
  </si>
  <si>
    <t xml:space="preserve">Count of exclusions (live):</t>
  </si>
  <si>
    <t xml:space="preserve">R-001 to R-006 from the original brief; R-007 to R-013 are author-proposed and pending ratification by the risk owner. Owners are proposed roles.</t>
  </si>
  <si>
    <t xml:space="preserve">Risk ID</t>
  </si>
  <si>
    <t xml:space="preserve">Risk description</t>
  </si>
  <si>
    <t xml:space="preserve">Likelihood</t>
  </si>
  <si>
    <t xml:space="preserve">Impact</t>
  </si>
  <si>
    <t xml:space="preserve">Inherent level</t>
  </si>
  <si>
    <t xml:space="preserve">Target residual</t>
  </si>
  <si>
    <t xml:space="preserve">Treatment</t>
  </si>
  <si>
    <t xml:space="preserve">Proposed owner</t>
  </si>
  <si>
    <t xml:space="preserve">Source</t>
  </si>
  <si>
    <t xml:space="preserve">Applicable controls treating risk (live)</t>
  </si>
  <si>
    <t xml:space="preserve">Unauthorized access to customer data</t>
  </si>
  <si>
    <t xml:space="preserve">Medium</t>
  </si>
  <si>
    <t xml:space="preserve">High</t>
  </si>
  <si>
    <t xml:space="preserve">Treat</t>
  </si>
  <si>
    <t xml:space="preserve">Head of Engineering</t>
  </si>
  <si>
    <t xml:space="preserve">Original brief</t>
  </si>
  <si>
    <t xml:space="preserve">Employee laptop theft or loss</t>
  </si>
  <si>
    <t xml:space="preserve">Low</t>
  </si>
  <si>
    <t xml:space="preserve">IT Operations Lead</t>
  </si>
  <si>
    <t xml:space="preserve">Cloud misconfiguration</t>
  </si>
  <si>
    <t xml:space="preserve">Critical</t>
  </si>
  <si>
    <t xml:space="preserve">Treat (priority)</t>
  </si>
  <si>
    <t xml:space="preserve">Cloud Platform Lead</t>
  </si>
  <si>
    <t xml:space="preserve">Insider threat</t>
  </si>
  <si>
    <t xml:space="preserve">Head of People</t>
  </si>
  <si>
    <t xml:space="preserve">Third-party breach (AWS)</t>
  </si>
  <si>
    <t xml:space="preserve">Treat and share</t>
  </si>
  <si>
    <t xml:space="preserve">Business continuity failure</t>
  </si>
  <si>
    <t xml:space="preserve">Head of Operations</t>
  </si>
  <si>
    <t xml:space="preserve">Phishing or credential theft against remote staff</t>
  </si>
  <si>
    <t xml:space="preserve">Author-proposed</t>
  </si>
  <si>
    <t xml:space="preserve">R-008</t>
  </si>
  <si>
    <t xml:space="preserve">Ransomware or destructive attack on cloud workloads and backups</t>
  </si>
  <si>
    <t xml:space="preserve">Software supply-chain compromise</t>
  </si>
  <si>
    <t xml:space="preserve">R-010</t>
  </si>
  <si>
    <t xml:space="preserve">Secrets or credentials exposed in code or pipelines</t>
  </si>
  <si>
    <t xml:space="preserve">Non-compliance with GDPR processor duties or customer contract terms</t>
  </si>
  <si>
    <t xml:space="preserve">Data Protection Lead</t>
  </si>
  <si>
    <t xml:space="preserve">R-012</t>
  </si>
  <si>
    <t xml:space="preserve">Customer data retained beyond contract or not deleted</t>
  </si>
  <si>
    <t xml:space="preserve">R-013</t>
  </si>
  <si>
    <t xml:space="preserve">API abuse: broken authorization, injection or denial of service</t>
  </si>
  <si>
    <t xml:space="preserve">Methodology note: the source states qualitative ratings without a scoring matrix. Publish the likelihood and impact criteria and matrix (action A-02) before Stage 1.</t>
  </si>
  <si>
    <t xml:space="preserve">Risk-to-Control Traceability Matrix</t>
  </si>
  <si>
    <t xml:space="preserve">● = control treats the risk (Annex A controls only; C-01 to C-03 are on the Additional Controls sheet). Counts are live.</t>
  </si>
  <si>
    <t xml:space="preserve">Controls per risk (live)</t>
  </si>
  <si>
    <t xml:space="preserve">Risks treated</t>
  </si>
  <si>
    <t xml:space="preserve">●</t>
  </si>
  <si>
    <t xml:space="preserve">Controls with no risk marked (applicable only):</t>
  </si>
  <si>
    <t xml:space="preserve">Expected: 1 (5.35, driven by ISO/IEC 27001 clause 9.2 rather than a risk). Reserve 'Excluded' controls rely on inherited or alternative measures; see Exclusions.</t>
  </si>
  <si>
    <t xml:space="preserve">Evidence Reference Index</t>
  </si>
  <si>
    <t xml:space="preserve">Owners are proposed roles and systems of record are indicative. 'Controls citing' counts SoA rows that reference the ID.</t>
  </si>
  <si>
    <t xml:space="preserve">ID</t>
  </si>
  <si>
    <t xml:space="preserve">Evidence artefact</t>
  </si>
  <si>
    <t xml:space="preserve">System of record (indicative)</t>
  </si>
  <si>
    <t xml:space="preserve">Cadence</t>
  </si>
  <si>
    <t xml:space="preserve">Controls citing (live)</t>
  </si>
  <si>
    <t xml:space="preserve">Note</t>
  </si>
  <si>
    <t xml:space="preserve">Information security policy, approved by management</t>
  </si>
  <si>
    <t xml:space="preserve">ISMS Manager</t>
  </si>
  <si>
    <t xml:space="preserve">Policy repository</t>
  </si>
  <si>
    <t xml:space="preserve">Annual</t>
  </si>
  <si>
    <t xml:space="preserve">EV-02</t>
  </si>
  <si>
    <t xml:space="preserve">ISMS scope statement and context register (incl. climate-change consideration)</t>
  </si>
  <si>
    <t xml:space="preserve">Clause 4 evidence</t>
  </si>
  <si>
    <t xml:space="preserve">Roles and responsibilities matrix, appointment records</t>
  </si>
  <si>
    <t xml:space="preserve">On change</t>
  </si>
  <si>
    <t xml:space="preserve">EV-04</t>
  </si>
  <si>
    <t xml:space="preserve">Management review minutes and ISMS KPI pack</t>
  </si>
  <si>
    <t xml:space="preserve">Executive sponsor</t>
  </si>
  <si>
    <t xml:space="preserve">Document store</t>
  </si>
  <si>
    <t xml:space="preserve">Quarterly</t>
  </si>
  <si>
    <t xml:space="preserve">EV-05</t>
  </si>
  <si>
    <t xml:space="preserve">Risk assessment methodology (criteria, matrix) and risk register</t>
  </si>
  <si>
    <t xml:space="preserve">Risk Owner</t>
  </si>
  <si>
    <t xml:space="preserve">Risk register</t>
  </si>
  <si>
    <t xml:space="preserve">Semi-annual</t>
  </si>
  <si>
    <t xml:space="preserve">Clause 6.1.2 evidence</t>
  </si>
  <si>
    <t xml:space="preserve">EV-06</t>
  </si>
  <si>
    <t xml:space="preserve">Risk treatment plan</t>
  </si>
  <si>
    <t xml:space="preserve">Clause 6.1.3 evidence</t>
  </si>
  <si>
    <t xml:space="preserve">EV-07</t>
  </si>
  <si>
    <t xml:space="preserve">Information asset register with owners and classification</t>
  </si>
  <si>
    <t xml:space="preserve">Asset inventory</t>
  </si>
  <si>
    <t xml:space="preserve">Acceptable use policy and signed acknowledgements</t>
  </si>
  <si>
    <t xml:space="preserve">HR system</t>
  </si>
  <si>
    <t xml:space="preserve">Onboarding and annual</t>
  </si>
  <si>
    <t xml:space="preserve">Classification and handling standard; labelling and transfer rules</t>
  </si>
  <si>
    <t xml:space="preserve">EV-10</t>
  </si>
  <si>
    <t xml:space="preserve">Access control policy</t>
  </si>
  <si>
    <t xml:space="preserve">Identity and access configuration exports and quarterly access review records</t>
  </si>
  <si>
    <t xml:space="preserve">Identity provider, AWS IAM</t>
  </si>
  <si>
    <t xml:space="preserve">Supplier register, due-diligence files and AWS assurance reviews (certificates, SOC reports)</t>
  </si>
  <si>
    <t xml:space="preserve">Procurement and ISMS Manager</t>
  </si>
  <si>
    <t xml:space="preserve">Supplier register, AWS Artifact</t>
  </si>
  <si>
    <t xml:space="preserve">Annual per supplier</t>
  </si>
  <si>
    <t xml:space="preserve">Supplier contracts, DPAs, NDAs and security addenda</t>
  </si>
  <si>
    <t xml:space="preserve">Legal</t>
  </si>
  <si>
    <t xml:space="preserve">Contract repository</t>
  </si>
  <si>
    <t xml:space="preserve">On signature and renewal</t>
  </si>
  <si>
    <t xml:space="preserve">EV-14</t>
  </si>
  <si>
    <t xml:space="preserve">Cloud security standard and shared-responsibility matrix</t>
  </si>
  <si>
    <t xml:space="preserve">Incident response plan, playbooks, incident log, post-incident reviews, tabletop reports</t>
  </si>
  <si>
    <t xml:space="preserve">Security Lead</t>
  </si>
  <si>
    <t xml:space="preserve">Ticketing system</t>
  </si>
  <si>
    <t xml:space="preserve">Per incident; tabletop annually</t>
  </si>
  <si>
    <t xml:space="preserve">Business impact analysis, continuity and DR plans, DR test reports</t>
  </si>
  <si>
    <t xml:space="preserve">Annual test</t>
  </si>
  <si>
    <t xml:space="preserve">Legal and contractual requirements register</t>
  </si>
  <si>
    <t xml:space="preserve">Record of processing, DPIAs, DSAR procedure and log</t>
  </si>
  <si>
    <t xml:space="preserve">Privacy register</t>
  </si>
  <si>
    <t xml:space="preserve">Internal audit programme, reports and corrective actions</t>
  </si>
  <si>
    <t xml:space="preserve">Audit tracker</t>
  </si>
  <si>
    <t xml:space="preserve">Screening records, contracts, disciplinary policy, leaver and mover checklists</t>
  </si>
  <si>
    <t xml:space="preserve">Per event</t>
  </si>
  <si>
    <t xml:space="preserve">Awareness training completion reports and phishing simulation results</t>
  </si>
  <si>
    <t xml:space="preserve">Training platform</t>
  </si>
  <si>
    <t xml:space="preserve">Annual; simulations quarterly</t>
  </si>
  <si>
    <t xml:space="preserve">EV-22</t>
  </si>
  <si>
    <t xml:space="preserve">Remote working and endpoint standard</t>
  </si>
  <si>
    <t xml:space="preserve">MDM compliance exports: encryption, patching, EDR, screen lock, removable media</t>
  </si>
  <si>
    <t xml:space="preserve">MDM console</t>
  </si>
  <si>
    <t xml:space="preserve">Continuous; monthly snapshot</t>
  </si>
  <si>
    <t xml:space="preserve">EV-24</t>
  </si>
  <si>
    <t xml:space="preserve">Laptop asset register, issue and return logs, disposal certificates</t>
  </si>
  <si>
    <t xml:space="preserve">Asset register</t>
  </si>
  <si>
    <t xml:space="preserve">Per event; quarterly reconciliation</t>
  </si>
  <si>
    <t xml:space="preserve">Vulnerability scan reports, remediation SLA tracker, penetration test reports</t>
  </si>
  <si>
    <t xml:space="preserve">Scanner, ticketing</t>
  </si>
  <si>
    <t xml:space="preserve">Continuous; pen test annually</t>
  </si>
  <si>
    <t xml:space="preserve">Secure SDLC policy, pipeline configuration, SAST, SCA, DAST outputs, code review records</t>
  </si>
  <si>
    <t xml:space="preserve">Source control, CI/CD</t>
  </si>
  <si>
    <t xml:space="preserve">Continuous</t>
  </si>
  <si>
    <t xml:space="preserve">Change records and pull-request approvals</t>
  </si>
  <si>
    <t xml:space="preserve">Source control, ticketing</t>
  </si>
  <si>
    <t xml:space="preserve">Logging and monitoring configuration, alert runbooks, alert review records</t>
  </si>
  <si>
    <t xml:space="preserve">AWS logging and security services</t>
  </si>
  <si>
    <t xml:space="preserve">Backup configuration and restore test records</t>
  </si>
  <si>
    <t xml:space="preserve">AWS Backup</t>
  </si>
  <si>
    <t xml:space="preserve">Quarterly test</t>
  </si>
  <si>
    <t xml:space="preserve">Cryptography policy, KMS key policies and rotation settings, TLS scan results</t>
  </si>
  <si>
    <t xml:space="preserve">AWS KMS, scanner</t>
  </si>
  <si>
    <t xml:space="preserve">Configuration baselines (infrastructure-as-code), AWS Config and conformance results</t>
  </si>
  <si>
    <t xml:space="preserve">Code repository, AWS Config</t>
  </si>
  <si>
    <t xml:space="preserve">Network architecture diagrams, VPC and security group configuration, WAF rules</t>
  </si>
  <si>
    <t xml:space="preserve">Architecture repository, AWS</t>
  </si>
  <si>
    <t xml:space="preserve">Retention schedule, deletion logs, customer offboarding runbook</t>
  </si>
  <si>
    <t xml:space="preserve">Runbook wiki, AWS logs</t>
  </si>
  <si>
    <t xml:space="preserve">Threat intelligence subscriptions and triage log</t>
  </si>
  <si>
    <t xml:space="preserve">Weekly</t>
  </si>
  <si>
    <t xml:space="preserve">Contact list for authorities and special interest groups</t>
  </si>
  <si>
    <t xml:space="preserve">Capacity dashboards and auto-scaling configuration</t>
  </si>
  <si>
    <t xml:space="preserve">AWS monitoring</t>
  </si>
  <si>
    <t xml:space="preserve">AWS organisation structure, account separation, service control policies</t>
  </si>
  <si>
    <t xml:space="preserve">AWS Organizations</t>
  </si>
  <si>
    <t xml:space="preserve">Test data policy and masking or synthetic data scripts</t>
  </si>
  <si>
    <t xml:space="preserve">Code repository</t>
  </si>
  <si>
    <t xml:space="preserve">Operating procedures and runbooks with owners and review dates</t>
  </si>
  <si>
    <t xml:space="preserve">Process owners</t>
  </si>
  <si>
    <t xml:space="preserve">Runbook wiki</t>
  </si>
  <si>
    <t xml:space="preserve">Project security gate checklist and completed gates</t>
  </si>
  <si>
    <t xml:space="preserve">Project office</t>
  </si>
  <si>
    <t xml:space="preserve">Project tracker</t>
  </si>
  <si>
    <t xml:space="preserve">Per project</t>
  </si>
  <si>
    <t xml:space="preserve">Records retention policy and immutable log storage configuration</t>
  </si>
  <si>
    <t xml:space="preserve">Legal and Cloud Platform Lead</t>
  </si>
  <si>
    <t xml:space="preserve">Policy repository, AWS</t>
  </si>
  <si>
    <t xml:space="preserve">Software licence register and open-source licence scan results</t>
  </si>
  <si>
    <t xml:space="preserve">CI/CD, register</t>
  </si>
  <si>
    <t xml:space="preserve">Per release</t>
  </si>
  <si>
    <t xml:space="preserve">Non-applicability dossier: registration, billing, HR policy, asset register, contributor roster</t>
  </si>
  <si>
    <t xml:space="preserve">At each management review</t>
  </si>
  <si>
    <t xml:space="preserve">EV-44</t>
  </si>
  <si>
    <t xml:space="preserve">Secrets management configuration and secret-scanning results</t>
  </si>
  <si>
    <t xml:space="preserve">AWS, CI/CD</t>
  </si>
  <si>
    <t xml:space="preserve">DNS and web filtering policy and endpoint configuration</t>
  </si>
  <si>
    <t xml:space="preserve">SSO and MFA enforcement and conditional access configuration</t>
  </si>
  <si>
    <t xml:space="preserve">Identity provider</t>
  </si>
  <si>
    <t xml:space="preserve">Time synchronisation configuration</t>
  </si>
  <si>
    <t xml:space="preserve">AWS, infrastructure-as-code</t>
  </si>
  <si>
    <t xml:space="preserve">Audit and penetration test rules of engagement and read-only access procedure</t>
  </si>
  <si>
    <t xml:space="preserve">Per engagement</t>
  </si>
  <si>
    <t xml:space="preserve">Data leakage controls: public-access blocks, egress rules, DLP configuration</t>
  </si>
  <si>
    <t xml:space="preserve">AWS, MDM</t>
  </si>
  <si>
    <t xml:space="preserve">Event reporting channel and reporting statistics</t>
  </si>
  <si>
    <t xml:space="preserve">Ticketing, chat</t>
  </si>
  <si>
    <t xml:space="preserve">Monthly</t>
  </si>
  <si>
    <t xml:space="preserve">Priority Remediation Actions</t>
  </si>
  <si>
    <t xml:space="preserve">Owners are proposed roles; dates are proposals for management approval. Update Status as work progresses.</t>
  </si>
  <si>
    <t xml:space="preserve">Action</t>
  </si>
  <si>
    <t xml:space="preserve">Owner</t>
  </si>
  <si>
    <t xml:space="preserve">Due</t>
  </si>
  <si>
    <t xml:space="preserve">Risk addressed</t>
  </si>
  <si>
    <t xml:space="preserve">Days to due (live)</t>
  </si>
  <si>
    <t xml:space="preserve">A-01</t>
  </si>
  <si>
    <t xml:space="preserve">Baseline</t>
  </si>
  <si>
    <t xml:space="preserve">Confirm whether any staff access company data from personal phones; if so add mobile rule to 8.1 and 6.7</t>
  </si>
  <si>
    <t xml:space="preserve">Not started</t>
  </si>
  <si>
    <t xml:space="preserve">A-02</t>
  </si>
  <si>
    <t xml:space="preserve">Method</t>
  </si>
  <si>
    <t xml:space="preserve">Publish risk scoring matrix and likelihood and impact criteria</t>
  </si>
  <si>
    <t xml:space="preserve">All</t>
  </si>
  <si>
    <t xml:space="preserve">A-03</t>
  </si>
  <si>
    <t xml:space="preserve">ED-01 to ED-04</t>
  </si>
  <si>
    <t xml:space="preserve">Assemble non-applicability dossier (EV-43) including contributor-to-roster reconciliation</t>
  </si>
  <si>
    <t xml:space="preserve">All exclusions</t>
  </si>
  <si>
    <t xml:space="preserve">Complete and sign off the annual AWS assurance review; schedule reviews for other suppliers</t>
  </si>
  <si>
    <t xml:space="preserve">Write audit and penetration test protocol with read-only access rules</t>
  </si>
  <si>
    <t xml:space="preserve">R-001, R-006</t>
  </si>
  <si>
    <t xml:space="preserve">Deploy DNS and web filtering to all laptops through MDM</t>
  </si>
  <si>
    <t xml:space="preserve">Apply classification tags to cloud data stores and standard document footers</t>
  </si>
  <si>
    <t xml:space="preserve">Approve evidence-collection and forensic-readiness procedure; confirm log retention</t>
  </si>
  <si>
    <t xml:space="preserve">Extend quarterly access reviews to all SaaS applications</t>
  </si>
  <si>
    <t xml:space="preserve">Enable configuration drift detection and exception process for infrastructure-as-code</t>
  </si>
  <si>
    <t xml:space="preserve">Tune alerts and define out-of-hours escalation</t>
  </si>
  <si>
    <t xml:space="preserve">R-003, R-007</t>
  </si>
  <si>
    <t xml:space="preserve">Set remediation SLAs and monthly vulnerability reporting</t>
  </si>
  <si>
    <t xml:space="preserve">Implement data masking for non-production and support access</t>
  </si>
  <si>
    <t xml:space="preserve">Deploy synthetic test data and prohibit production data in lower environments</t>
  </si>
  <si>
    <t xml:space="preserve">Run a tabletop exercise on cloud credential compromise and record lessons</t>
  </si>
  <si>
    <t xml:space="preserve">R-001, R-003, R-006</t>
  </si>
  <si>
    <t xml:space="preserve">Implement just-in-time privileged access for AWS administrators</t>
  </si>
  <si>
    <t xml:space="preserve">Implement egress controls and endpoint DLP rules</t>
  </si>
  <si>
    <t xml:space="preserve">8.13, 5.30</t>
  </si>
  <si>
    <t xml:space="preserve">Perform and record a restore test and a cross-region recovery test</t>
  </si>
  <si>
    <t xml:space="preserve">R-006, R-008</t>
  </si>
  <si>
    <t xml:space="preserve">Launch role-based secure-coding and cloud-admin training</t>
  </si>
  <si>
    <t xml:space="preserve">R-004, R-007, R-013</t>
  </si>
  <si>
    <t xml:space="preserve">Complete first independent internal audit of the ISMS</t>
  </si>
  <si>
    <t xml:space="preserve">Clause 9.2</t>
  </si>
  <si>
    <t xml:space="preserve">Days to due is measured from the baseline date 26 Oct 2026 (fixed).</t>
  </si>
  <si>
    <t xml:space="preserve">Controls Beyond Annex A</t>
  </si>
  <si>
    <t xml:space="preserve">Clause 6.1.3 b): controls necessary for a multi-tenant, EU-hosted SaaS provider. They do not change the 93-control count.</t>
  </si>
  <si>
    <t xml:space="preserve">Additional control</t>
  </si>
  <si>
    <t xml:space="preserve">Risks</t>
  </si>
  <si>
    <t xml:space="preserve">Related Annex A</t>
  </si>
  <si>
    <t xml:space="preserve">C-01</t>
  </si>
  <si>
    <t xml:space="preserve">Logical tenant isolation for customer data in the multi-tenant platform</t>
  </si>
  <si>
    <t xml:space="preserve">R-001 R-013</t>
  </si>
  <si>
    <t xml:space="preserve">8.3, 8.22, 8.26</t>
  </si>
  <si>
    <t xml:space="preserve">EV-25, EV-32</t>
  </si>
  <si>
    <t xml:space="preserve">C-02</t>
  </si>
  <si>
    <t xml:space="preserve">EU data residency enforcement and sub-processor transparency</t>
  </si>
  <si>
    <t xml:space="preserve">5.20, 5.31, 8.9</t>
  </si>
  <si>
    <t xml:space="preserve">EV-13, EV-37</t>
  </si>
  <si>
    <t xml:space="preserve">C-03</t>
  </si>
  <si>
    <t xml:space="preserve">Customer assurance handling: security questionnaires, audit-rights requests, shared-responsibility statement</t>
  </si>
  <si>
    <t xml:space="preserve">R-005 R-011</t>
  </si>
  <si>
    <t xml:space="preserve">5.19, 5.31</t>
  </si>
  <si>
    <t xml:space="preserve">EV-12, EV-17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</si>
</sst>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.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sz val="13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  <sz val="9"/>
      </font>
    </dxf>
    <dxf>
      <fill>
        <patternFill>
          <bgColor rgb="FFF4B084"/>
        </patternFill>
      </fill>
    </dxf>
    <dxf>
      <fill>
        <patternFill>
          <bgColor rgb="FFFFD96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D9D9D9"/>
      <rgbColor rgb="FFF4B084"/>
      <rgbColor rgb="FFCC99FF"/>
      <rgbColor rgb="FFF8CBAD"/>
      <rgbColor rgb="FF2E75B6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5" t="n">
        <v>46321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 t="s">
        <v>13</v>
      </c>
      <c r="C11" s="5" t="n">
        <v>46503</v>
      </c>
    </row>
    <row r="12" customFormat="false" ht="15" hidden="false" customHeight="false" outlineLevel="0" collapsed="false">
      <c r="B12" s="3" t="s">
        <v>14</v>
      </c>
      <c r="C12" s="4" t="s">
        <v>15</v>
      </c>
    </row>
    <row r="15" customFormat="false" ht="15" hidden="false" customHeight="false" outlineLevel="0" collapsed="false">
      <c r="B15" s="6" t="s">
        <v>16</v>
      </c>
    </row>
    <row r="16" customFormat="false" ht="15" hidden="false" customHeight="false" outlineLevel="0" collapsed="false">
      <c r="B16" s="3" t="s">
        <v>17</v>
      </c>
      <c r="C16" s="7" t="s">
        <v>18</v>
      </c>
    </row>
    <row r="17" customFormat="false" ht="15" hidden="false" customHeight="false" outlineLevel="0" collapsed="false">
      <c r="B17" s="3" t="s">
        <v>19</v>
      </c>
      <c r="C17" s="7" t="s">
        <v>20</v>
      </c>
    </row>
    <row r="18" customFormat="false" ht="15" hidden="false" customHeight="false" outlineLevel="0" collapsed="false">
      <c r="B18" s="3" t="s">
        <v>21</v>
      </c>
      <c r="C18" s="7" t="s">
        <v>22</v>
      </c>
    </row>
    <row r="19" customFormat="false" ht="15" hidden="false" customHeight="false" outlineLevel="0" collapsed="false">
      <c r="B19" s="3" t="s">
        <v>23</v>
      </c>
      <c r="C19" s="7" t="s">
        <v>24</v>
      </c>
    </row>
    <row r="20" customFormat="false" ht="15" hidden="false" customHeight="false" outlineLevel="0" collapsed="false">
      <c r="B20" s="3" t="s">
        <v>25</v>
      </c>
      <c r="C20" s="7" t="s">
        <v>26</v>
      </c>
    </row>
    <row r="21" customFormat="false" ht="15" hidden="false" customHeight="false" outlineLevel="0" collapsed="false">
      <c r="B21" s="3" t="s">
        <v>27</v>
      </c>
      <c r="C21" s="7" t="s">
        <v>28</v>
      </c>
    </row>
    <row r="22" customFormat="false" ht="15" hidden="false" customHeight="false" outlineLevel="0" collapsed="false">
      <c r="B22" s="3" t="s">
        <v>29</v>
      </c>
      <c r="C22" s="7" t="s">
        <v>30</v>
      </c>
    </row>
    <row r="23" customFormat="false" ht="15" hidden="false" customHeight="false" outlineLevel="0" collapsed="false">
      <c r="B23" s="3" t="s">
        <v>31</v>
      </c>
      <c r="C23" s="7" t="s">
        <v>32</v>
      </c>
    </row>
    <row r="25" customFormat="false" ht="15" hidden="false" customHeight="false" outlineLevel="0" collapsed="false">
      <c r="B25" s="8" t="s">
        <v>33</v>
      </c>
    </row>
    <row r="26" customFormat="false" ht="30" hidden="false" customHeight="true" outlineLevel="0" collapsed="false">
      <c r="B26" s="9" t="s">
        <v>34</v>
      </c>
      <c r="C26" s="9"/>
    </row>
    <row r="27" customFormat="false" ht="30" hidden="false" customHeight="true" outlineLevel="0" collapsed="false">
      <c r="B27" s="9" t="s">
        <v>35</v>
      </c>
      <c r="C27" s="9"/>
    </row>
    <row r="28" customFormat="false" ht="30" hidden="false" customHeight="true" outlineLevel="0" collapsed="false">
      <c r="B28" s="9" t="s">
        <v>36</v>
      </c>
      <c r="C28" s="9"/>
    </row>
    <row r="29" customFormat="false" ht="30" hidden="false" customHeight="true" outlineLevel="0" collapsed="false">
      <c r="B29" s="9" t="s">
        <v>37</v>
      </c>
      <c r="C29" s="9"/>
    </row>
  </sheetData>
  <mergeCells count="4"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1" t="s">
        <v>39</v>
      </c>
    </row>
    <row r="4" customFormat="false" ht="15" hidden="false" customHeight="false" outlineLevel="0" collapsed="false">
      <c r="A4" s="12" t="s">
        <v>40</v>
      </c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</row>
    <row r="5" customFormat="false" ht="15" hidden="false" customHeight="false" outlineLevel="0" collapsed="false">
      <c r="A5" s="13" t="s">
        <v>47</v>
      </c>
      <c r="B5" s="13" t="n">
        <f aca="false">COUNTIFS(SoA!$A$2:$A$94,$A5)</f>
        <v>37</v>
      </c>
      <c r="C5" s="13" t="n">
        <f aca="false">COUNTIFS(SoA!$A$2:$A$94,$A5,SoA!$D$2:$D$94,"Yes")</f>
        <v>37</v>
      </c>
      <c r="D5" s="13" t="n">
        <f aca="false">COUNTIFS(SoA!$A$2:$A$94,$A5,SoA!$D$2:$D$94,"No")</f>
        <v>0</v>
      </c>
      <c r="E5" s="13" t="n">
        <f aca="false">COUNTIFS(SoA!$A$2:$A$94,$A5,SoA!$E$2:$E$94,"Implemented")</f>
        <v>11</v>
      </c>
      <c r="F5" s="13" t="n">
        <f aca="false">COUNTIFS(SoA!$A$2:$A$94,$A5,SoA!$E$2:$E$94,"Partial")</f>
        <v>23</v>
      </c>
      <c r="G5" s="13" t="n">
        <f aca="false">COUNTIFS(SoA!$A$2:$A$94,$A5,SoA!$E$2:$E$94,"Planned")</f>
        <v>3</v>
      </c>
    </row>
    <row r="6" customFormat="false" ht="15" hidden="false" customHeight="false" outlineLevel="0" collapsed="false">
      <c r="A6" s="13" t="s">
        <v>48</v>
      </c>
      <c r="B6" s="13" t="n">
        <f aca="false">COUNTIFS(SoA!$A$2:$A$94,$A6)</f>
        <v>8</v>
      </c>
      <c r="C6" s="13" t="n">
        <f aca="false">COUNTIFS(SoA!$A$2:$A$94,$A6,SoA!$D$2:$D$94,"Yes")</f>
        <v>8</v>
      </c>
      <c r="D6" s="13" t="n">
        <f aca="false">COUNTIFS(SoA!$A$2:$A$94,$A6,SoA!$D$2:$D$94,"No")</f>
        <v>0</v>
      </c>
      <c r="E6" s="13" t="n">
        <f aca="false">COUNTIFS(SoA!$A$2:$A$94,$A6,SoA!$E$2:$E$94,"Implemented")</f>
        <v>6</v>
      </c>
      <c r="F6" s="13" t="n">
        <f aca="false">COUNTIFS(SoA!$A$2:$A$94,$A6,SoA!$E$2:$E$94,"Partial")</f>
        <v>2</v>
      </c>
      <c r="G6" s="13" t="n">
        <f aca="false">COUNTIFS(SoA!$A$2:$A$94,$A6,SoA!$E$2:$E$94,"Planned")</f>
        <v>0</v>
      </c>
    </row>
    <row r="7" customFormat="false" ht="15" hidden="false" customHeight="false" outlineLevel="0" collapsed="false">
      <c r="A7" s="13" t="s">
        <v>49</v>
      </c>
      <c r="B7" s="13" t="n">
        <f aca="false">COUNTIFS(SoA!$A$2:$A$94,$A7)</f>
        <v>14</v>
      </c>
      <c r="C7" s="13" t="n">
        <f aca="false">COUNTIFS(SoA!$A$2:$A$94,$A7,SoA!$D$2:$D$94,"Yes")</f>
        <v>5</v>
      </c>
      <c r="D7" s="13" t="n">
        <f aca="false">COUNTIFS(SoA!$A$2:$A$94,$A7,SoA!$D$2:$D$94,"No")</f>
        <v>9</v>
      </c>
      <c r="E7" s="13" t="n">
        <f aca="false">COUNTIFS(SoA!$A$2:$A$94,$A7,SoA!$E$2:$E$94,"Implemented")</f>
        <v>1</v>
      </c>
      <c r="F7" s="13" t="n">
        <f aca="false">COUNTIFS(SoA!$A$2:$A$94,$A7,SoA!$E$2:$E$94,"Partial")</f>
        <v>4</v>
      </c>
      <c r="G7" s="13" t="n">
        <f aca="false">COUNTIFS(SoA!$A$2:$A$94,$A7,SoA!$E$2:$E$94,"Planned")</f>
        <v>0</v>
      </c>
    </row>
    <row r="8" customFormat="false" ht="15" hidden="false" customHeight="false" outlineLevel="0" collapsed="false">
      <c r="A8" s="13" t="s">
        <v>50</v>
      </c>
      <c r="B8" s="13" t="n">
        <f aca="false">COUNTIFS(SoA!$A$2:$A$94,$A8)</f>
        <v>34</v>
      </c>
      <c r="C8" s="13" t="n">
        <f aca="false">COUNTIFS(SoA!$A$2:$A$94,$A8,SoA!$D$2:$D$94,"Yes")</f>
        <v>33</v>
      </c>
      <c r="D8" s="13" t="n">
        <f aca="false">COUNTIFS(SoA!$A$2:$A$94,$A8,SoA!$D$2:$D$94,"No")</f>
        <v>1</v>
      </c>
      <c r="E8" s="13" t="n">
        <f aca="false">COUNTIFS(SoA!$A$2:$A$94,$A8,SoA!$E$2:$E$94,"Implemented")</f>
        <v>15</v>
      </c>
      <c r="F8" s="13" t="n">
        <f aca="false">COUNTIFS(SoA!$A$2:$A$94,$A8,SoA!$E$2:$E$94,"Partial")</f>
        <v>13</v>
      </c>
      <c r="G8" s="13" t="n">
        <f aca="false">COUNTIFS(SoA!$A$2:$A$94,$A8,SoA!$E$2:$E$94,"Planned")</f>
        <v>5</v>
      </c>
    </row>
    <row r="9" customFormat="false" ht="15" hidden="false" customHeight="false" outlineLevel="0" collapsed="false">
      <c r="A9" s="14" t="s">
        <v>51</v>
      </c>
      <c r="B9" s="14" t="n">
        <f aca="false">SUM(B5:B8)</f>
        <v>93</v>
      </c>
      <c r="C9" s="14" t="n">
        <f aca="false">SUM(C5:C8)</f>
        <v>83</v>
      </c>
      <c r="D9" s="14" t="n">
        <f aca="false">SUM(D5:D8)</f>
        <v>10</v>
      </c>
      <c r="E9" s="14" t="n">
        <f aca="false">SUM(E5:E8)</f>
        <v>33</v>
      </c>
      <c r="F9" s="14" t="n">
        <f aca="false">SUM(F5:F8)</f>
        <v>42</v>
      </c>
      <c r="G9" s="14" t="n">
        <f aca="false">SUM(G5:G8)</f>
        <v>8</v>
      </c>
    </row>
    <row r="11" customFormat="false" ht="15" hidden="false" customHeight="false" outlineLevel="0" collapsed="false">
      <c r="A11" s="15" t="s">
        <v>52</v>
      </c>
    </row>
    <row r="12" customFormat="false" ht="15" hidden="false" customHeight="false" outlineLevel="0" collapsed="false">
      <c r="A12" s="16" t="s">
        <v>53</v>
      </c>
      <c r="B12" s="17" t="str">
        <f aca="false">IF(B9=93,"OK","CHECK")</f>
        <v>OK</v>
      </c>
    </row>
    <row r="13" customFormat="false" ht="15" hidden="false" customHeight="false" outlineLevel="0" collapsed="false">
      <c r="A13" s="16" t="s">
        <v>54</v>
      </c>
      <c r="B13" s="17" t="str">
        <f aca="false">IF(C9+D9=B9,"OK","CHECK")</f>
        <v>OK</v>
      </c>
    </row>
    <row r="14" customFormat="false" ht="15" hidden="false" customHeight="false" outlineLevel="0" collapsed="false">
      <c r="A14" s="16" t="s">
        <v>55</v>
      </c>
      <c r="B14" s="17" t="str">
        <f aca="false">IF(E9+F9+G9=C9,"OK","CHECK")</f>
        <v>OK</v>
      </c>
    </row>
    <row r="15" customFormat="false" ht="15" hidden="false" customHeight="false" outlineLevel="0" collapsed="false">
      <c r="A15" s="16" t="s">
        <v>56</v>
      </c>
      <c r="B15" s="17" t="n">
        <f aca="false">COUNTIF(SoA!$M$2:$M$94,"Validate evidence")</f>
        <v>33</v>
      </c>
    </row>
    <row r="16" customFormat="false" ht="15" hidden="false" customHeight="false" outlineLevel="0" collapsed="false">
      <c r="A16" s="16" t="s">
        <v>57</v>
      </c>
      <c r="B16" s="17" t="n">
        <f aca="false">COUNTIF(SoA!$M$2:$M$94,"Status conflict")</f>
        <v>0</v>
      </c>
    </row>
    <row r="18" customFormat="false" ht="15" hidden="false" customHeight="false" outlineLevel="0" collapsed="false">
      <c r="A18" s="15" t="s">
        <v>58</v>
      </c>
    </row>
    <row r="19" customFormat="false" ht="15" hidden="false" customHeight="false" outlineLevel="0" collapsed="false">
      <c r="A19" s="16" t="s">
        <v>44</v>
      </c>
      <c r="B19" s="18" t="n">
        <f aca="false">IF($C$9=0,0,E9/$C$9)</f>
        <v>0.397590361445783</v>
      </c>
    </row>
    <row r="20" customFormat="false" ht="15" hidden="false" customHeight="false" outlineLevel="0" collapsed="false">
      <c r="A20" s="16" t="s">
        <v>45</v>
      </c>
      <c r="B20" s="18" t="n">
        <f aca="false">IF($C$9=0,0,F9/$C$9)</f>
        <v>0.506024096385542</v>
      </c>
    </row>
    <row r="21" customFormat="false" ht="15" hidden="false" customHeight="false" outlineLevel="0" collapsed="false">
      <c r="A21" s="16" t="s">
        <v>46</v>
      </c>
      <c r="B21" s="18" t="n">
        <f aca="false">IF($C$9=0,0,G9/$C$9)</f>
        <v>0.0963855421686747</v>
      </c>
    </row>
    <row r="23" customFormat="false" ht="15" hidden="false" customHeight="false" outlineLevel="0" collapsed="false">
      <c r="A23" s="1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2" t="s">
        <v>40</v>
      </c>
      <c r="B1" s="12" t="s">
        <v>60</v>
      </c>
      <c r="C1" s="12" t="s">
        <v>61</v>
      </c>
      <c r="D1" s="12" t="s">
        <v>42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68</v>
      </c>
      <c r="L1" s="12" t="s">
        <v>69</v>
      </c>
      <c r="M1" s="12" t="s">
        <v>70</v>
      </c>
    </row>
    <row r="2" customFormat="false" ht="22.35" hidden="false" customHeight="false" outlineLevel="0" collapsed="false">
      <c r="A2" s="13" t="s">
        <v>47</v>
      </c>
      <c r="B2" s="19" t="s">
        <v>71</v>
      </c>
      <c r="C2" s="13" t="s">
        <v>72</v>
      </c>
      <c r="D2" s="13" t="s">
        <v>73</v>
      </c>
      <c r="E2" s="13" t="s">
        <v>44</v>
      </c>
      <c r="F2" s="13" t="s">
        <v>74</v>
      </c>
      <c r="G2" s="13" t="s">
        <v>75</v>
      </c>
      <c r="H2" s="13" t="s">
        <v>76</v>
      </c>
      <c r="I2" s="13"/>
      <c r="J2" s="13"/>
      <c r="K2" s="20"/>
      <c r="L2" s="20" t="s">
        <v>77</v>
      </c>
      <c r="M2" s="13" t="str">
        <f aca="false">IF(AND(E2="Implemented",L2&lt;&gt;"Yes"),"Validate evidence",IF(AND(D2="Yes",E2="N/A"),"Status conflict",IF(AND(D2="No",E2&lt;&gt;"N/A"),"Status conflict","OK")))</f>
        <v>Validate evidence</v>
      </c>
    </row>
    <row r="3" customFormat="false" ht="22.35" hidden="false" customHeight="false" outlineLevel="0" collapsed="false">
      <c r="A3" s="13" t="s">
        <v>47</v>
      </c>
      <c r="B3" s="19" t="s">
        <v>78</v>
      </c>
      <c r="C3" s="13" t="s">
        <v>79</v>
      </c>
      <c r="D3" s="13" t="s">
        <v>73</v>
      </c>
      <c r="E3" s="13" t="s">
        <v>44</v>
      </c>
      <c r="F3" s="13" t="s">
        <v>80</v>
      </c>
      <c r="G3" s="13" t="s">
        <v>81</v>
      </c>
      <c r="H3" s="13" t="s">
        <v>82</v>
      </c>
      <c r="I3" s="13"/>
      <c r="J3" s="13"/>
      <c r="K3" s="20"/>
      <c r="L3" s="20" t="s">
        <v>77</v>
      </c>
      <c r="M3" s="13" t="str">
        <f aca="false">IF(AND(E3="Implemented",L3&lt;&gt;"Yes"),"Validate evidence",IF(AND(D3="Yes",E3="N/A"),"Status conflict",IF(AND(D3="No",E3&lt;&gt;"N/A"),"Status conflict","OK")))</f>
        <v>Validate evidence</v>
      </c>
    </row>
    <row r="4" customFormat="false" ht="32.8" hidden="false" customHeight="false" outlineLevel="0" collapsed="false">
      <c r="A4" s="13" t="s">
        <v>47</v>
      </c>
      <c r="B4" s="19" t="s">
        <v>83</v>
      </c>
      <c r="C4" s="13" t="s">
        <v>84</v>
      </c>
      <c r="D4" s="13" t="s">
        <v>73</v>
      </c>
      <c r="E4" s="13" t="s">
        <v>45</v>
      </c>
      <c r="F4" s="13" t="s">
        <v>85</v>
      </c>
      <c r="G4" s="13" t="s">
        <v>86</v>
      </c>
      <c r="H4" s="13" t="s">
        <v>87</v>
      </c>
      <c r="I4" s="13"/>
      <c r="J4" s="13"/>
      <c r="K4" s="20"/>
      <c r="L4" s="20" t="s">
        <v>88</v>
      </c>
      <c r="M4" s="13" t="str">
        <f aca="false">IF(AND(E4="Implemented",L4&lt;&gt;"Yes"),"Validate evidence",IF(AND(D4="Yes",E4="N/A"),"Status conflict",IF(AND(D4="No",E4&lt;&gt;"N/A"),"Status conflict","OK")))</f>
        <v>OK</v>
      </c>
    </row>
    <row r="5" customFormat="false" ht="15" hidden="false" customHeight="false" outlineLevel="0" collapsed="false">
      <c r="A5" s="13" t="s">
        <v>47</v>
      </c>
      <c r="B5" s="19" t="s">
        <v>89</v>
      </c>
      <c r="C5" s="13" t="s">
        <v>90</v>
      </c>
      <c r="D5" s="13" t="s">
        <v>73</v>
      </c>
      <c r="E5" s="13" t="s">
        <v>44</v>
      </c>
      <c r="F5" s="13" t="s">
        <v>91</v>
      </c>
      <c r="G5" s="13" t="s">
        <v>92</v>
      </c>
      <c r="H5" s="13" t="s">
        <v>93</v>
      </c>
      <c r="I5" s="13"/>
      <c r="J5" s="13"/>
      <c r="K5" s="20"/>
      <c r="L5" s="20" t="s">
        <v>77</v>
      </c>
      <c r="M5" s="13" t="str">
        <f aca="false">IF(AND(E5="Implemented",L5&lt;&gt;"Yes"),"Validate evidence",IF(AND(D5="Yes",E5="N/A"),"Status conflict",IF(AND(D5="No",E5&lt;&gt;"N/A"),"Status conflict","OK")))</f>
        <v>Validate evidence</v>
      </c>
    </row>
    <row r="6" customFormat="false" ht="22.35" hidden="false" customHeight="false" outlineLevel="0" collapsed="false">
      <c r="A6" s="13" t="s">
        <v>47</v>
      </c>
      <c r="B6" s="19" t="s">
        <v>94</v>
      </c>
      <c r="C6" s="13" t="s">
        <v>95</v>
      </c>
      <c r="D6" s="13" t="s">
        <v>73</v>
      </c>
      <c r="E6" s="13" t="s">
        <v>45</v>
      </c>
      <c r="F6" s="13" t="s">
        <v>96</v>
      </c>
      <c r="G6" s="13" t="s">
        <v>97</v>
      </c>
      <c r="H6" s="13" t="s">
        <v>98</v>
      </c>
      <c r="I6" s="13"/>
      <c r="J6" s="13"/>
      <c r="K6" s="20"/>
      <c r="L6" s="20" t="s">
        <v>88</v>
      </c>
      <c r="M6" s="13" t="str">
        <f aca="false">IF(AND(E6="Implemented",L6&lt;&gt;"Yes"),"Validate evidence",IF(AND(D6="Yes",E6="N/A"),"Status conflict",IF(AND(D6="No",E6&lt;&gt;"N/A"),"Status conflict","OK")))</f>
        <v>OK</v>
      </c>
    </row>
    <row r="7" customFormat="false" ht="22.35" hidden="false" customHeight="false" outlineLevel="0" collapsed="false">
      <c r="A7" s="13" t="s">
        <v>47</v>
      </c>
      <c r="B7" s="19" t="s">
        <v>99</v>
      </c>
      <c r="C7" s="13" t="s">
        <v>100</v>
      </c>
      <c r="D7" s="13" t="s">
        <v>73</v>
      </c>
      <c r="E7" s="13" t="s">
        <v>45</v>
      </c>
      <c r="F7" s="13" t="s">
        <v>101</v>
      </c>
      <c r="G7" s="13" t="s">
        <v>97</v>
      </c>
      <c r="H7" s="13" t="s">
        <v>102</v>
      </c>
      <c r="I7" s="13"/>
      <c r="J7" s="13"/>
      <c r="K7" s="20"/>
      <c r="L7" s="20" t="s">
        <v>88</v>
      </c>
      <c r="M7" s="13" t="str">
        <f aca="false">IF(AND(E7="Implemented",L7&lt;&gt;"Yes"),"Validate evidence",IF(AND(D7="Yes",E7="N/A"),"Status conflict",IF(AND(D7="No",E7&lt;&gt;"N/A"),"Status conflict","OK")))</f>
        <v>OK</v>
      </c>
    </row>
    <row r="8" customFormat="false" ht="22.35" hidden="false" customHeight="false" outlineLevel="0" collapsed="false">
      <c r="A8" s="13" t="s">
        <v>47</v>
      </c>
      <c r="B8" s="19" t="s">
        <v>103</v>
      </c>
      <c r="C8" s="13" t="s">
        <v>104</v>
      </c>
      <c r="D8" s="13" t="s">
        <v>73</v>
      </c>
      <c r="E8" s="13" t="s">
        <v>45</v>
      </c>
      <c r="F8" s="13" t="s">
        <v>105</v>
      </c>
      <c r="G8" s="13" t="s">
        <v>106</v>
      </c>
      <c r="H8" s="13" t="s">
        <v>107</v>
      </c>
      <c r="I8" s="13"/>
      <c r="J8" s="13"/>
      <c r="K8" s="20"/>
      <c r="L8" s="20" t="s">
        <v>88</v>
      </c>
      <c r="M8" s="13" t="str">
        <f aca="false">IF(AND(E8="Implemented",L8&lt;&gt;"Yes"),"Validate evidence",IF(AND(D8="Yes",E8="N/A"),"Status conflict",IF(AND(D8="No",E8&lt;&gt;"N/A"),"Status conflict","OK")))</f>
        <v>OK</v>
      </c>
    </row>
    <row r="9" customFormat="false" ht="22.35" hidden="false" customHeight="false" outlineLevel="0" collapsed="false">
      <c r="A9" s="13" t="s">
        <v>47</v>
      </c>
      <c r="B9" s="19" t="s">
        <v>108</v>
      </c>
      <c r="C9" s="13" t="s">
        <v>109</v>
      </c>
      <c r="D9" s="13" t="s">
        <v>73</v>
      </c>
      <c r="E9" s="13" t="s">
        <v>45</v>
      </c>
      <c r="F9" s="13" t="s">
        <v>110</v>
      </c>
      <c r="G9" s="13" t="s">
        <v>111</v>
      </c>
      <c r="H9" s="13" t="s">
        <v>112</v>
      </c>
      <c r="I9" s="13"/>
      <c r="J9" s="13"/>
      <c r="K9" s="20"/>
      <c r="L9" s="20" t="s">
        <v>88</v>
      </c>
      <c r="M9" s="13" t="str">
        <f aca="false">IF(AND(E9="Implemented",L9&lt;&gt;"Yes"),"Validate evidence",IF(AND(D9="Yes",E9="N/A"),"Status conflict",IF(AND(D9="No",E9&lt;&gt;"N/A"),"Status conflict","OK")))</f>
        <v>OK</v>
      </c>
    </row>
    <row r="10" customFormat="false" ht="22.35" hidden="false" customHeight="false" outlineLevel="0" collapsed="false">
      <c r="A10" s="13" t="s">
        <v>47</v>
      </c>
      <c r="B10" s="19" t="s">
        <v>113</v>
      </c>
      <c r="C10" s="13" t="s">
        <v>114</v>
      </c>
      <c r="D10" s="13" t="s">
        <v>73</v>
      </c>
      <c r="E10" s="13" t="s">
        <v>45</v>
      </c>
      <c r="F10" s="13" t="s">
        <v>115</v>
      </c>
      <c r="G10" s="13" t="s">
        <v>116</v>
      </c>
      <c r="H10" s="13" t="s">
        <v>117</v>
      </c>
      <c r="I10" s="13"/>
      <c r="J10" s="13"/>
      <c r="K10" s="20"/>
      <c r="L10" s="20" t="s">
        <v>88</v>
      </c>
      <c r="M10" s="13" t="str">
        <f aca="false">IF(AND(E10="Implemented",L10&lt;&gt;"Yes"),"Validate evidence",IF(AND(D10="Yes",E10="N/A"),"Status conflict",IF(AND(D10="No",E10&lt;&gt;"N/A"),"Status conflict","OK")))</f>
        <v>OK</v>
      </c>
    </row>
    <row r="11" customFormat="false" ht="22.35" hidden="false" customHeight="false" outlineLevel="0" collapsed="false">
      <c r="A11" s="13" t="s">
        <v>47</v>
      </c>
      <c r="B11" s="19" t="s">
        <v>118</v>
      </c>
      <c r="C11" s="13" t="s">
        <v>119</v>
      </c>
      <c r="D11" s="13" t="s">
        <v>73</v>
      </c>
      <c r="E11" s="13" t="s">
        <v>44</v>
      </c>
      <c r="F11" s="13" t="s">
        <v>120</v>
      </c>
      <c r="G11" s="13" t="s">
        <v>121</v>
      </c>
      <c r="H11" s="13" t="s">
        <v>122</v>
      </c>
      <c r="I11" s="13"/>
      <c r="J11" s="13"/>
      <c r="K11" s="20"/>
      <c r="L11" s="20" t="s">
        <v>77</v>
      </c>
      <c r="M11" s="13" t="str">
        <f aca="false">IF(AND(E11="Implemented",L11&lt;&gt;"Yes"),"Validate evidence",IF(AND(D11="Yes",E11="N/A"),"Status conflict",IF(AND(D11="No",E11&lt;&gt;"N/A"),"Status conflict","OK")))</f>
        <v>Validate evidence</v>
      </c>
    </row>
    <row r="12" customFormat="false" ht="22.35" hidden="false" customHeight="false" outlineLevel="0" collapsed="false">
      <c r="A12" s="13" t="s">
        <v>47</v>
      </c>
      <c r="B12" s="19" t="s">
        <v>123</v>
      </c>
      <c r="C12" s="13" t="s">
        <v>124</v>
      </c>
      <c r="D12" s="13" t="s">
        <v>73</v>
      </c>
      <c r="E12" s="13" t="s">
        <v>44</v>
      </c>
      <c r="F12" s="13" t="s">
        <v>125</v>
      </c>
      <c r="G12" s="13" t="s">
        <v>126</v>
      </c>
      <c r="H12" s="13" t="s">
        <v>127</v>
      </c>
      <c r="I12" s="13"/>
      <c r="J12" s="13"/>
      <c r="K12" s="20"/>
      <c r="L12" s="20" t="s">
        <v>77</v>
      </c>
      <c r="M12" s="13" t="str">
        <f aca="false">IF(AND(E12="Implemented",L12&lt;&gt;"Yes"),"Validate evidence",IF(AND(D12="Yes",E12="N/A"),"Status conflict",IF(AND(D12="No",E12&lt;&gt;"N/A"),"Status conflict","OK")))</f>
        <v>Validate evidence</v>
      </c>
    </row>
    <row r="13" customFormat="false" ht="22.35" hidden="false" customHeight="false" outlineLevel="0" collapsed="false">
      <c r="A13" s="13" t="s">
        <v>47</v>
      </c>
      <c r="B13" s="19" t="s">
        <v>128</v>
      </c>
      <c r="C13" s="13" t="s">
        <v>129</v>
      </c>
      <c r="D13" s="13" t="s">
        <v>73</v>
      </c>
      <c r="E13" s="13" t="s">
        <v>45</v>
      </c>
      <c r="F13" s="13" t="s">
        <v>130</v>
      </c>
      <c r="G13" s="13" t="s">
        <v>131</v>
      </c>
      <c r="H13" s="13" t="s">
        <v>132</v>
      </c>
      <c r="I13" s="13"/>
      <c r="J13" s="13"/>
      <c r="K13" s="20"/>
      <c r="L13" s="20" t="s">
        <v>88</v>
      </c>
      <c r="M13" s="13" t="str">
        <f aca="false">IF(AND(E13="Implemented",L13&lt;&gt;"Yes"),"Validate evidence",IF(AND(D13="Yes",E13="N/A"),"Status conflict",IF(AND(D13="No",E13&lt;&gt;"N/A"),"Status conflict","OK")))</f>
        <v>OK</v>
      </c>
    </row>
    <row r="14" customFormat="false" ht="22.35" hidden="false" customHeight="false" outlineLevel="0" collapsed="false">
      <c r="A14" s="13" t="s">
        <v>47</v>
      </c>
      <c r="B14" s="19" t="s">
        <v>133</v>
      </c>
      <c r="C14" s="13" t="s">
        <v>134</v>
      </c>
      <c r="D14" s="13" t="s">
        <v>73</v>
      </c>
      <c r="E14" s="13" t="s">
        <v>46</v>
      </c>
      <c r="F14" s="13" t="s">
        <v>135</v>
      </c>
      <c r="G14" s="13" t="s">
        <v>131</v>
      </c>
      <c r="H14" s="13" t="s">
        <v>98</v>
      </c>
      <c r="I14" s="13"/>
      <c r="J14" s="13" t="s">
        <v>136</v>
      </c>
      <c r="K14" s="20"/>
      <c r="L14" s="20" t="s">
        <v>88</v>
      </c>
      <c r="M14" s="13" t="str">
        <f aca="false">IF(AND(E14="Implemented",L14&lt;&gt;"Yes"),"Validate evidence",IF(AND(D14="Yes",E14="N/A"),"Status conflict",IF(AND(D14="No",E14&lt;&gt;"N/A"),"Status conflict","OK")))</f>
        <v>OK</v>
      </c>
    </row>
    <row r="15" customFormat="false" ht="22.35" hidden="false" customHeight="false" outlineLevel="0" collapsed="false">
      <c r="A15" s="13" t="s">
        <v>47</v>
      </c>
      <c r="B15" s="19" t="s">
        <v>137</v>
      </c>
      <c r="C15" s="13" t="s">
        <v>138</v>
      </c>
      <c r="D15" s="13" t="s">
        <v>73</v>
      </c>
      <c r="E15" s="13" t="s">
        <v>45</v>
      </c>
      <c r="F15" s="13" t="s">
        <v>139</v>
      </c>
      <c r="G15" s="13" t="s">
        <v>140</v>
      </c>
      <c r="H15" s="13" t="s">
        <v>141</v>
      </c>
      <c r="I15" s="13"/>
      <c r="J15" s="13"/>
      <c r="K15" s="20"/>
      <c r="L15" s="20" t="s">
        <v>88</v>
      </c>
      <c r="M15" s="13" t="str">
        <f aca="false">IF(AND(E15="Implemented",L15&lt;&gt;"Yes"),"Validate evidence",IF(AND(D15="Yes",E15="N/A"),"Status conflict",IF(AND(D15="No",E15&lt;&gt;"N/A"),"Status conflict","OK")))</f>
        <v>OK</v>
      </c>
    </row>
    <row r="16" customFormat="false" ht="15" hidden="false" customHeight="false" outlineLevel="0" collapsed="false">
      <c r="A16" s="13" t="s">
        <v>47</v>
      </c>
      <c r="B16" s="19" t="s">
        <v>142</v>
      </c>
      <c r="C16" s="13" t="s">
        <v>143</v>
      </c>
      <c r="D16" s="13" t="s">
        <v>73</v>
      </c>
      <c r="E16" s="13" t="s">
        <v>44</v>
      </c>
      <c r="F16" s="13" t="s">
        <v>144</v>
      </c>
      <c r="G16" s="13" t="s">
        <v>145</v>
      </c>
      <c r="H16" s="13" t="s">
        <v>146</v>
      </c>
      <c r="I16" s="13"/>
      <c r="J16" s="13"/>
      <c r="K16" s="20"/>
      <c r="L16" s="20" t="s">
        <v>77</v>
      </c>
      <c r="M16" s="13" t="str">
        <f aca="false">IF(AND(E16="Implemented",L16&lt;&gt;"Yes"),"Validate evidence",IF(AND(D16="Yes",E16="N/A"),"Status conflict",IF(AND(D16="No",E16&lt;&gt;"N/A"),"Status conflict","OK")))</f>
        <v>Validate evidence</v>
      </c>
    </row>
    <row r="17" customFormat="false" ht="15" hidden="false" customHeight="false" outlineLevel="0" collapsed="false">
      <c r="A17" s="13" t="s">
        <v>47</v>
      </c>
      <c r="B17" s="19" t="s">
        <v>147</v>
      </c>
      <c r="C17" s="13" t="s">
        <v>148</v>
      </c>
      <c r="D17" s="13" t="s">
        <v>73</v>
      </c>
      <c r="E17" s="13" t="s">
        <v>44</v>
      </c>
      <c r="F17" s="13" t="s">
        <v>149</v>
      </c>
      <c r="G17" s="13" t="s">
        <v>150</v>
      </c>
      <c r="H17" s="13" t="s">
        <v>146</v>
      </c>
      <c r="I17" s="13"/>
      <c r="J17" s="13"/>
      <c r="K17" s="20"/>
      <c r="L17" s="20" t="s">
        <v>77</v>
      </c>
      <c r="M17" s="13" t="str">
        <f aca="false">IF(AND(E17="Implemented",L17&lt;&gt;"Yes"),"Validate evidence",IF(AND(D17="Yes",E17="N/A"),"Status conflict",IF(AND(D17="No",E17&lt;&gt;"N/A"),"Status conflict","OK")))</f>
        <v>Validate evidence</v>
      </c>
    </row>
    <row r="18" customFormat="false" ht="22.35" hidden="false" customHeight="false" outlineLevel="0" collapsed="false">
      <c r="A18" s="13" t="s">
        <v>47</v>
      </c>
      <c r="B18" s="19" t="s">
        <v>151</v>
      </c>
      <c r="C18" s="13" t="s">
        <v>152</v>
      </c>
      <c r="D18" s="13" t="s">
        <v>73</v>
      </c>
      <c r="E18" s="13" t="s">
        <v>44</v>
      </c>
      <c r="F18" s="13" t="s">
        <v>153</v>
      </c>
      <c r="G18" s="13" t="s">
        <v>154</v>
      </c>
      <c r="H18" s="13" t="s">
        <v>155</v>
      </c>
      <c r="I18" s="13"/>
      <c r="J18" s="13"/>
      <c r="K18" s="20"/>
      <c r="L18" s="20" t="s">
        <v>77</v>
      </c>
      <c r="M18" s="13" t="str">
        <f aca="false">IF(AND(E18="Implemented",L18&lt;&gt;"Yes"),"Validate evidence",IF(AND(D18="Yes",E18="N/A"),"Status conflict",IF(AND(D18="No",E18&lt;&gt;"N/A"),"Status conflict","OK")))</f>
        <v>Validate evidence</v>
      </c>
    </row>
    <row r="19" customFormat="false" ht="22.35" hidden="false" customHeight="false" outlineLevel="0" collapsed="false">
      <c r="A19" s="13" t="s">
        <v>47</v>
      </c>
      <c r="B19" s="19" t="s">
        <v>156</v>
      </c>
      <c r="C19" s="13" t="s">
        <v>157</v>
      </c>
      <c r="D19" s="13" t="s">
        <v>73</v>
      </c>
      <c r="E19" s="13" t="s">
        <v>45</v>
      </c>
      <c r="F19" s="13" t="s">
        <v>158</v>
      </c>
      <c r="G19" s="13" t="s">
        <v>159</v>
      </c>
      <c r="H19" s="13" t="s">
        <v>146</v>
      </c>
      <c r="I19" s="13"/>
      <c r="J19" s="13" t="s">
        <v>160</v>
      </c>
      <c r="K19" s="20"/>
      <c r="L19" s="20" t="s">
        <v>88</v>
      </c>
      <c r="M19" s="13" t="str">
        <f aca="false">IF(AND(E19="Implemented",L19&lt;&gt;"Yes"),"Validate evidence",IF(AND(D19="Yes",E19="N/A"),"Status conflict",IF(AND(D19="No",E19&lt;&gt;"N/A"),"Status conflict","OK")))</f>
        <v>OK</v>
      </c>
    </row>
    <row r="20" customFormat="false" ht="22.35" hidden="false" customHeight="false" outlineLevel="0" collapsed="false">
      <c r="A20" s="13" t="s">
        <v>47</v>
      </c>
      <c r="B20" s="19" t="s">
        <v>161</v>
      </c>
      <c r="C20" s="13" t="s">
        <v>162</v>
      </c>
      <c r="D20" s="13" t="s">
        <v>73</v>
      </c>
      <c r="E20" s="13" t="s">
        <v>45</v>
      </c>
      <c r="F20" s="13" t="s">
        <v>163</v>
      </c>
      <c r="G20" s="13" t="s">
        <v>164</v>
      </c>
      <c r="H20" s="13" t="s">
        <v>165</v>
      </c>
      <c r="I20" s="13"/>
      <c r="J20" s="13"/>
      <c r="K20" s="20"/>
      <c r="L20" s="20" t="s">
        <v>88</v>
      </c>
      <c r="M20" s="13" t="str">
        <f aca="false">IF(AND(E20="Implemented",L20&lt;&gt;"Yes"),"Validate evidence",IF(AND(D20="Yes",E20="N/A"),"Status conflict",IF(AND(D20="No",E20&lt;&gt;"N/A"),"Status conflict","OK")))</f>
        <v>OK</v>
      </c>
    </row>
    <row r="21" customFormat="false" ht="22.35" hidden="false" customHeight="false" outlineLevel="0" collapsed="false">
      <c r="A21" s="13" t="s">
        <v>47</v>
      </c>
      <c r="B21" s="19" t="s">
        <v>166</v>
      </c>
      <c r="C21" s="13" t="s">
        <v>167</v>
      </c>
      <c r="D21" s="13" t="s">
        <v>73</v>
      </c>
      <c r="E21" s="13" t="s">
        <v>45</v>
      </c>
      <c r="F21" s="13" t="s">
        <v>168</v>
      </c>
      <c r="G21" s="13" t="s">
        <v>169</v>
      </c>
      <c r="H21" s="13" t="s">
        <v>170</v>
      </c>
      <c r="I21" s="13"/>
      <c r="J21" s="13"/>
      <c r="K21" s="20"/>
      <c r="L21" s="20" t="s">
        <v>88</v>
      </c>
      <c r="M21" s="13" t="str">
        <f aca="false">IF(AND(E21="Implemented",L21&lt;&gt;"Yes"),"Validate evidence",IF(AND(D21="Yes",E21="N/A"),"Status conflict",IF(AND(D21="No",E21&lt;&gt;"N/A"),"Status conflict","OK")))</f>
        <v>OK</v>
      </c>
    </row>
    <row r="22" customFormat="false" ht="22.35" hidden="false" customHeight="false" outlineLevel="0" collapsed="false">
      <c r="A22" s="13" t="s">
        <v>47</v>
      </c>
      <c r="B22" s="19" t="s">
        <v>171</v>
      </c>
      <c r="C22" s="13" t="s">
        <v>172</v>
      </c>
      <c r="D22" s="13" t="s">
        <v>73</v>
      </c>
      <c r="E22" s="13" t="s">
        <v>45</v>
      </c>
      <c r="F22" s="13" t="s">
        <v>173</v>
      </c>
      <c r="G22" s="13" t="s">
        <v>174</v>
      </c>
      <c r="H22" s="13" t="s">
        <v>165</v>
      </c>
      <c r="I22" s="13"/>
      <c r="J22" s="13"/>
      <c r="K22" s="20"/>
      <c r="L22" s="20" t="s">
        <v>88</v>
      </c>
      <c r="M22" s="13" t="str">
        <f aca="false">IF(AND(E22="Implemented",L22&lt;&gt;"Yes"),"Validate evidence",IF(AND(D22="Yes",E22="N/A"),"Status conflict",IF(AND(D22="No",E22&lt;&gt;"N/A"),"Status conflict","OK")))</f>
        <v>OK</v>
      </c>
    </row>
    <row r="23" customFormat="false" ht="22.35" hidden="false" customHeight="false" outlineLevel="0" collapsed="false">
      <c r="A23" s="13" t="s">
        <v>47</v>
      </c>
      <c r="B23" s="19" t="s">
        <v>175</v>
      </c>
      <c r="C23" s="13" t="s">
        <v>176</v>
      </c>
      <c r="D23" s="13" t="s">
        <v>73</v>
      </c>
      <c r="E23" s="13" t="s">
        <v>45</v>
      </c>
      <c r="F23" s="13" t="s">
        <v>177</v>
      </c>
      <c r="G23" s="13" t="s">
        <v>164</v>
      </c>
      <c r="H23" s="13" t="s">
        <v>178</v>
      </c>
      <c r="I23" s="13"/>
      <c r="J23" s="13" t="s">
        <v>179</v>
      </c>
      <c r="K23" s="20"/>
      <c r="L23" s="20" t="s">
        <v>88</v>
      </c>
      <c r="M23" s="13" t="str">
        <f aca="false">IF(AND(E23="Implemented",L23&lt;&gt;"Yes"),"Validate evidence",IF(AND(D23="Yes",E23="N/A"),"Status conflict",IF(AND(D23="No",E23&lt;&gt;"N/A"),"Status conflict","OK")))</f>
        <v>OK</v>
      </c>
    </row>
    <row r="24" customFormat="false" ht="22.35" hidden="false" customHeight="false" outlineLevel="0" collapsed="false">
      <c r="A24" s="13" t="s">
        <v>47</v>
      </c>
      <c r="B24" s="19" t="s">
        <v>180</v>
      </c>
      <c r="C24" s="13" t="s">
        <v>181</v>
      </c>
      <c r="D24" s="13" t="s">
        <v>73</v>
      </c>
      <c r="E24" s="13" t="s">
        <v>44</v>
      </c>
      <c r="F24" s="13" t="s">
        <v>182</v>
      </c>
      <c r="G24" s="13" t="s">
        <v>183</v>
      </c>
      <c r="H24" s="13" t="s">
        <v>184</v>
      </c>
      <c r="I24" s="13"/>
      <c r="J24" s="13"/>
      <c r="K24" s="20"/>
      <c r="L24" s="20" t="s">
        <v>77</v>
      </c>
      <c r="M24" s="13" t="str">
        <f aca="false">IF(AND(E24="Implemented",L24&lt;&gt;"Yes"),"Validate evidence",IF(AND(D24="Yes",E24="N/A"),"Status conflict",IF(AND(D24="No",E24&lt;&gt;"N/A"),"Status conflict","OK")))</f>
        <v>Validate evidence</v>
      </c>
    </row>
    <row r="25" customFormat="false" ht="22.35" hidden="false" customHeight="false" outlineLevel="0" collapsed="false">
      <c r="A25" s="13" t="s">
        <v>47</v>
      </c>
      <c r="B25" s="19" t="s">
        <v>185</v>
      </c>
      <c r="C25" s="13" t="s">
        <v>186</v>
      </c>
      <c r="D25" s="13" t="s">
        <v>73</v>
      </c>
      <c r="E25" s="13" t="s">
        <v>44</v>
      </c>
      <c r="F25" s="13" t="s">
        <v>187</v>
      </c>
      <c r="G25" s="13" t="s">
        <v>188</v>
      </c>
      <c r="H25" s="13" t="s">
        <v>189</v>
      </c>
      <c r="I25" s="13"/>
      <c r="J25" s="13"/>
      <c r="K25" s="20"/>
      <c r="L25" s="20" t="s">
        <v>77</v>
      </c>
      <c r="M25" s="13" t="str">
        <f aca="false">IF(AND(E25="Implemented",L25&lt;&gt;"Yes"),"Validate evidence",IF(AND(D25="Yes",E25="N/A"),"Status conflict",IF(AND(D25="No",E25&lt;&gt;"N/A"),"Status conflict","OK")))</f>
        <v>Validate evidence</v>
      </c>
    </row>
    <row r="26" customFormat="false" ht="22.35" hidden="false" customHeight="false" outlineLevel="0" collapsed="false">
      <c r="A26" s="13" t="s">
        <v>47</v>
      </c>
      <c r="B26" s="19" t="s">
        <v>190</v>
      </c>
      <c r="C26" s="13" t="s">
        <v>191</v>
      </c>
      <c r="D26" s="13" t="s">
        <v>73</v>
      </c>
      <c r="E26" s="13" t="s">
        <v>45</v>
      </c>
      <c r="F26" s="13" t="s">
        <v>192</v>
      </c>
      <c r="G26" s="13" t="s">
        <v>193</v>
      </c>
      <c r="H26" s="13" t="s">
        <v>194</v>
      </c>
      <c r="I26" s="13"/>
      <c r="J26" s="13"/>
      <c r="K26" s="20"/>
      <c r="L26" s="20" t="s">
        <v>88</v>
      </c>
      <c r="M26" s="13" t="str">
        <f aca="false">IF(AND(E26="Implemented",L26&lt;&gt;"Yes"),"Validate evidence",IF(AND(D26="Yes",E26="N/A"),"Status conflict",IF(AND(D26="No",E26&lt;&gt;"N/A"),"Status conflict","OK")))</f>
        <v>OK</v>
      </c>
    </row>
    <row r="27" customFormat="false" ht="22.35" hidden="false" customHeight="false" outlineLevel="0" collapsed="false">
      <c r="A27" s="13" t="s">
        <v>47</v>
      </c>
      <c r="B27" s="19" t="s">
        <v>195</v>
      </c>
      <c r="C27" s="13" t="s">
        <v>196</v>
      </c>
      <c r="D27" s="13" t="s">
        <v>73</v>
      </c>
      <c r="E27" s="13" t="s">
        <v>45</v>
      </c>
      <c r="F27" s="13" t="s">
        <v>197</v>
      </c>
      <c r="G27" s="13" t="s">
        <v>188</v>
      </c>
      <c r="H27" s="13" t="s">
        <v>198</v>
      </c>
      <c r="I27" s="13"/>
      <c r="J27" s="13" t="s">
        <v>199</v>
      </c>
      <c r="K27" s="20"/>
      <c r="L27" s="20" t="s">
        <v>88</v>
      </c>
      <c r="M27" s="13" t="str">
        <f aca="false">IF(AND(E27="Implemented",L27&lt;&gt;"Yes"),"Validate evidence",IF(AND(D27="Yes",E27="N/A"),"Status conflict",IF(AND(D27="No",E27&lt;&gt;"N/A"),"Status conflict","OK")))</f>
        <v>OK</v>
      </c>
    </row>
    <row r="28" customFormat="false" ht="15" hidden="false" customHeight="false" outlineLevel="0" collapsed="false">
      <c r="A28" s="13" t="s">
        <v>47</v>
      </c>
      <c r="B28" s="19" t="s">
        <v>200</v>
      </c>
      <c r="C28" s="13" t="s">
        <v>201</v>
      </c>
      <c r="D28" s="13" t="s">
        <v>73</v>
      </c>
      <c r="E28" s="13" t="s">
        <v>45</v>
      </c>
      <c r="F28" s="13" t="s">
        <v>202</v>
      </c>
      <c r="G28" s="13" t="s">
        <v>188</v>
      </c>
      <c r="H28" s="13" t="s">
        <v>189</v>
      </c>
      <c r="I28" s="13"/>
      <c r="J28" s="13"/>
      <c r="K28" s="20"/>
      <c r="L28" s="20" t="s">
        <v>88</v>
      </c>
      <c r="M28" s="13" t="str">
        <f aca="false">IF(AND(E28="Implemented",L28&lt;&gt;"Yes"),"Validate evidence",IF(AND(D28="Yes",E28="N/A"),"Status conflict",IF(AND(D28="No",E28&lt;&gt;"N/A"),"Status conflict","OK")))</f>
        <v>OK</v>
      </c>
    </row>
    <row r="29" customFormat="false" ht="22.35" hidden="false" customHeight="false" outlineLevel="0" collapsed="false">
      <c r="A29" s="13" t="s">
        <v>47</v>
      </c>
      <c r="B29" s="19" t="s">
        <v>203</v>
      </c>
      <c r="C29" s="13" t="s">
        <v>204</v>
      </c>
      <c r="D29" s="13" t="s">
        <v>73</v>
      </c>
      <c r="E29" s="13" t="s">
        <v>46</v>
      </c>
      <c r="F29" s="13" t="s">
        <v>205</v>
      </c>
      <c r="G29" s="13" t="s">
        <v>193</v>
      </c>
      <c r="H29" s="13" t="s">
        <v>206</v>
      </c>
      <c r="I29" s="13"/>
      <c r="J29" s="13" t="s">
        <v>207</v>
      </c>
      <c r="K29" s="20"/>
      <c r="L29" s="20" t="s">
        <v>88</v>
      </c>
      <c r="M29" s="13" t="str">
        <f aca="false">IF(AND(E29="Implemented",L29&lt;&gt;"Yes"),"Validate evidence",IF(AND(D29="Yes",E29="N/A"),"Status conflict",IF(AND(D29="No",E29&lt;&gt;"N/A"),"Status conflict","OK")))</f>
        <v>OK</v>
      </c>
    </row>
    <row r="30" customFormat="false" ht="15" hidden="false" customHeight="false" outlineLevel="0" collapsed="false">
      <c r="A30" s="13" t="s">
        <v>47</v>
      </c>
      <c r="B30" s="19" t="s">
        <v>208</v>
      </c>
      <c r="C30" s="13" t="s">
        <v>209</v>
      </c>
      <c r="D30" s="13" t="s">
        <v>73</v>
      </c>
      <c r="E30" s="13" t="s">
        <v>45</v>
      </c>
      <c r="F30" s="13" t="s">
        <v>210</v>
      </c>
      <c r="G30" s="13" t="s">
        <v>211</v>
      </c>
      <c r="H30" s="13" t="s">
        <v>212</v>
      </c>
      <c r="I30" s="13"/>
      <c r="J30" s="13"/>
      <c r="K30" s="20"/>
      <c r="L30" s="20" t="s">
        <v>88</v>
      </c>
      <c r="M30" s="13" t="str">
        <f aca="false">IF(AND(E30="Implemented",L30&lt;&gt;"Yes"),"Validate evidence",IF(AND(D30="Yes",E30="N/A"),"Status conflict",IF(AND(D30="No",E30&lt;&gt;"N/A"),"Status conflict","OK")))</f>
        <v>OK</v>
      </c>
    </row>
    <row r="31" customFormat="false" ht="15" hidden="false" customHeight="false" outlineLevel="0" collapsed="false">
      <c r="A31" s="13" t="s">
        <v>47</v>
      </c>
      <c r="B31" s="19" t="s">
        <v>213</v>
      </c>
      <c r="C31" s="13" t="s">
        <v>214</v>
      </c>
      <c r="D31" s="13" t="s">
        <v>73</v>
      </c>
      <c r="E31" s="13" t="s">
        <v>45</v>
      </c>
      <c r="F31" s="13" t="s">
        <v>215</v>
      </c>
      <c r="G31" s="13" t="s">
        <v>216</v>
      </c>
      <c r="H31" s="13" t="s">
        <v>212</v>
      </c>
      <c r="I31" s="13"/>
      <c r="J31" s="13" t="s">
        <v>217</v>
      </c>
      <c r="K31" s="20"/>
      <c r="L31" s="20" t="s">
        <v>88</v>
      </c>
      <c r="M31" s="13" t="str">
        <f aca="false">IF(AND(E31="Implemented",L31&lt;&gt;"Yes"),"Validate evidence",IF(AND(D31="Yes",E31="N/A"),"Status conflict",IF(AND(D31="No",E31&lt;&gt;"N/A"),"Status conflict","OK")))</f>
        <v>OK</v>
      </c>
    </row>
    <row r="32" customFormat="false" ht="22.35" hidden="false" customHeight="false" outlineLevel="0" collapsed="false">
      <c r="A32" s="13" t="s">
        <v>47</v>
      </c>
      <c r="B32" s="19" t="s">
        <v>218</v>
      </c>
      <c r="C32" s="13" t="s">
        <v>219</v>
      </c>
      <c r="D32" s="13" t="s">
        <v>73</v>
      </c>
      <c r="E32" s="13" t="s">
        <v>44</v>
      </c>
      <c r="F32" s="13" t="s">
        <v>220</v>
      </c>
      <c r="G32" s="13" t="s">
        <v>221</v>
      </c>
      <c r="H32" s="13" t="s">
        <v>98</v>
      </c>
      <c r="I32" s="13"/>
      <c r="J32" s="13"/>
      <c r="K32" s="20"/>
      <c r="L32" s="20" t="s">
        <v>77</v>
      </c>
      <c r="M32" s="13" t="str">
        <f aca="false">IF(AND(E32="Implemented",L32&lt;&gt;"Yes"),"Validate evidence",IF(AND(D32="Yes",E32="N/A"),"Status conflict",IF(AND(D32="No",E32&lt;&gt;"N/A"),"Status conflict","OK")))</f>
        <v>Validate evidence</v>
      </c>
    </row>
    <row r="33" customFormat="false" ht="22.35" hidden="false" customHeight="false" outlineLevel="0" collapsed="false">
      <c r="A33" s="13" t="s">
        <v>47</v>
      </c>
      <c r="B33" s="19" t="s">
        <v>222</v>
      </c>
      <c r="C33" s="13" t="s">
        <v>223</v>
      </c>
      <c r="D33" s="13" t="s">
        <v>73</v>
      </c>
      <c r="E33" s="13" t="s">
        <v>45</v>
      </c>
      <c r="F33" s="13" t="s">
        <v>224</v>
      </c>
      <c r="G33" s="13" t="s">
        <v>225</v>
      </c>
      <c r="H33" s="13" t="s">
        <v>226</v>
      </c>
      <c r="I33" s="13"/>
      <c r="J33" s="13"/>
      <c r="K33" s="20"/>
      <c r="L33" s="20" t="s">
        <v>88</v>
      </c>
      <c r="M33" s="13" t="str">
        <f aca="false">IF(AND(E33="Implemented",L33&lt;&gt;"Yes"),"Validate evidence",IF(AND(D33="Yes",E33="N/A"),"Status conflict",IF(AND(D33="No",E33&lt;&gt;"N/A"),"Status conflict","OK")))</f>
        <v>OK</v>
      </c>
    </row>
    <row r="34" customFormat="false" ht="22.35" hidden="false" customHeight="false" outlineLevel="0" collapsed="false">
      <c r="A34" s="13" t="s">
        <v>47</v>
      </c>
      <c r="B34" s="19" t="s">
        <v>227</v>
      </c>
      <c r="C34" s="13" t="s">
        <v>228</v>
      </c>
      <c r="D34" s="13" t="s">
        <v>73</v>
      </c>
      <c r="E34" s="13" t="s">
        <v>45</v>
      </c>
      <c r="F34" s="13" t="s">
        <v>229</v>
      </c>
      <c r="G34" s="13" t="s">
        <v>230</v>
      </c>
      <c r="H34" s="13" t="s">
        <v>231</v>
      </c>
      <c r="I34" s="13"/>
      <c r="J34" s="13"/>
      <c r="K34" s="20"/>
      <c r="L34" s="20" t="s">
        <v>88</v>
      </c>
      <c r="M34" s="13" t="str">
        <f aca="false">IF(AND(E34="Implemented",L34&lt;&gt;"Yes"),"Validate evidence",IF(AND(D34="Yes",E34="N/A"),"Status conflict",IF(AND(D34="No",E34&lt;&gt;"N/A"),"Status conflict","OK")))</f>
        <v>OK</v>
      </c>
    </row>
    <row r="35" customFormat="false" ht="22.35" hidden="false" customHeight="false" outlineLevel="0" collapsed="false">
      <c r="A35" s="13" t="s">
        <v>47</v>
      </c>
      <c r="B35" s="19" t="s">
        <v>232</v>
      </c>
      <c r="C35" s="13" t="s">
        <v>233</v>
      </c>
      <c r="D35" s="13" t="s">
        <v>73</v>
      </c>
      <c r="E35" s="13" t="s">
        <v>45</v>
      </c>
      <c r="F35" s="13" t="s">
        <v>234</v>
      </c>
      <c r="G35" s="13" t="s">
        <v>235</v>
      </c>
      <c r="H35" s="13" t="s">
        <v>231</v>
      </c>
      <c r="I35" s="13"/>
      <c r="J35" s="13"/>
      <c r="K35" s="20"/>
      <c r="L35" s="20" t="s">
        <v>88</v>
      </c>
      <c r="M35" s="13" t="str">
        <f aca="false">IF(AND(E35="Implemented",L35&lt;&gt;"Yes"),"Validate evidence",IF(AND(D35="Yes",E35="N/A"),"Status conflict",IF(AND(D35="No",E35&lt;&gt;"N/A"),"Status conflict","OK")))</f>
        <v>OK</v>
      </c>
    </row>
    <row r="36" customFormat="false" ht="22.35" hidden="false" customHeight="false" outlineLevel="0" collapsed="false">
      <c r="A36" s="13" t="s">
        <v>47</v>
      </c>
      <c r="B36" s="19" t="s">
        <v>236</v>
      </c>
      <c r="C36" s="13" t="s">
        <v>237</v>
      </c>
      <c r="D36" s="13" t="s">
        <v>73</v>
      </c>
      <c r="E36" s="13" t="s">
        <v>46</v>
      </c>
      <c r="F36" s="13" t="s">
        <v>238</v>
      </c>
      <c r="G36" s="13" t="s">
        <v>239</v>
      </c>
      <c r="H36" s="13"/>
      <c r="I36" s="13"/>
      <c r="J36" s="13" t="s">
        <v>240</v>
      </c>
      <c r="K36" s="20"/>
      <c r="L36" s="20" t="s">
        <v>88</v>
      </c>
      <c r="M36" s="13" t="str">
        <f aca="false">IF(AND(E36="Implemented",L36&lt;&gt;"Yes"),"Validate evidence",IF(AND(D36="Yes",E36="N/A"),"Status conflict",IF(AND(D36="No",E36&lt;&gt;"N/A"),"Status conflict","OK")))</f>
        <v>OK</v>
      </c>
    </row>
    <row r="37" customFormat="false" ht="22.35" hidden="false" customHeight="false" outlineLevel="0" collapsed="false">
      <c r="A37" s="13" t="s">
        <v>47</v>
      </c>
      <c r="B37" s="19" t="s">
        <v>241</v>
      </c>
      <c r="C37" s="13" t="s">
        <v>242</v>
      </c>
      <c r="D37" s="13" t="s">
        <v>73</v>
      </c>
      <c r="E37" s="13" t="s">
        <v>45</v>
      </c>
      <c r="F37" s="13" t="s">
        <v>243</v>
      </c>
      <c r="G37" s="13" t="s">
        <v>244</v>
      </c>
      <c r="H37" s="13" t="s">
        <v>82</v>
      </c>
      <c r="I37" s="13"/>
      <c r="J37" s="13"/>
      <c r="K37" s="20"/>
      <c r="L37" s="20" t="s">
        <v>88</v>
      </c>
      <c r="M37" s="13" t="str">
        <f aca="false">IF(AND(E37="Implemented",L37&lt;&gt;"Yes"),"Validate evidence",IF(AND(D37="Yes",E37="N/A"),"Status conflict",IF(AND(D37="No",E37&lt;&gt;"N/A"),"Status conflict","OK")))</f>
        <v>OK</v>
      </c>
    </row>
    <row r="38" customFormat="false" ht="22.35" hidden="false" customHeight="false" outlineLevel="0" collapsed="false">
      <c r="A38" s="13" t="s">
        <v>47</v>
      </c>
      <c r="B38" s="19" t="s">
        <v>245</v>
      </c>
      <c r="C38" s="13" t="s">
        <v>246</v>
      </c>
      <c r="D38" s="13" t="s">
        <v>73</v>
      </c>
      <c r="E38" s="13" t="s">
        <v>45</v>
      </c>
      <c r="F38" s="13" t="s">
        <v>247</v>
      </c>
      <c r="G38" s="13" t="s">
        <v>248</v>
      </c>
      <c r="H38" s="13" t="s">
        <v>249</v>
      </c>
      <c r="I38" s="13"/>
      <c r="J38" s="13"/>
      <c r="K38" s="20"/>
      <c r="L38" s="20" t="s">
        <v>88</v>
      </c>
      <c r="M38" s="13" t="str">
        <f aca="false">IF(AND(E38="Implemented",L38&lt;&gt;"Yes"),"Validate evidence",IF(AND(D38="Yes",E38="N/A"),"Status conflict",IF(AND(D38="No",E38&lt;&gt;"N/A"),"Status conflict","OK")))</f>
        <v>OK</v>
      </c>
    </row>
    <row r="39" customFormat="false" ht="22.35" hidden="false" customHeight="false" outlineLevel="0" collapsed="false">
      <c r="A39" s="13" t="s">
        <v>48</v>
      </c>
      <c r="B39" s="19" t="s">
        <v>250</v>
      </c>
      <c r="C39" s="13" t="s">
        <v>251</v>
      </c>
      <c r="D39" s="13" t="s">
        <v>73</v>
      </c>
      <c r="E39" s="13" t="s">
        <v>44</v>
      </c>
      <c r="F39" s="13" t="s">
        <v>252</v>
      </c>
      <c r="G39" s="13" t="s">
        <v>253</v>
      </c>
      <c r="H39" s="13" t="s">
        <v>206</v>
      </c>
      <c r="I39" s="13"/>
      <c r="J39" s="13"/>
      <c r="K39" s="20"/>
      <c r="L39" s="20" t="s">
        <v>77</v>
      </c>
      <c r="M39" s="13" t="str">
        <f aca="false">IF(AND(E39="Implemented",L39&lt;&gt;"Yes"),"Validate evidence",IF(AND(D39="Yes",E39="N/A"),"Status conflict",IF(AND(D39="No",E39&lt;&gt;"N/A"),"Status conflict","OK")))</f>
        <v>Validate evidence</v>
      </c>
    </row>
    <row r="40" customFormat="false" ht="15" hidden="false" customHeight="false" outlineLevel="0" collapsed="false">
      <c r="A40" s="13" t="s">
        <v>48</v>
      </c>
      <c r="B40" s="19" t="s">
        <v>254</v>
      </c>
      <c r="C40" s="13" t="s">
        <v>255</v>
      </c>
      <c r="D40" s="13" t="s">
        <v>73</v>
      </c>
      <c r="E40" s="13" t="s">
        <v>44</v>
      </c>
      <c r="F40" s="13" t="s">
        <v>256</v>
      </c>
      <c r="G40" s="13" t="s">
        <v>253</v>
      </c>
      <c r="H40" s="13" t="s">
        <v>206</v>
      </c>
      <c r="I40" s="13"/>
      <c r="J40" s="13"/>
      <c r="K40" s="20"/>
      <c r="L40" s="20" t="s">
        <v>77</v>
      </c>
      <c r="M40" s="13" t="str">
        <f aca="false">IF(AND(E40="Implemented",L40&lt;&gt;"Yes"),"Validate evidence",IF(AND(D40="Yes",E40="N/A"),"Status conflict",IF(AND(D40="No",E40&lt;&gt;"N/A"),"Status conflict","OK")))</f>
        <v>Validate evidence</v>
      </c>
    </row>
    <row r="41" customFormat="false" ht="22.35" hidden="false" customHeight="false" outlineLevel="0" collapsed="false">
      <c r="A41" s="13" t="s">
        <v>48</v>
      </c>
      <c r="B41" s="19" t="s">
        <v>257</v>
      </c>
      <c r="C41" s="13" t="s">
        <v>258</v>
      </c>
      <c r="D41" s="13" t="s">
        <v>73</v>
      </c>
      <c r="E41" s="13" t="s">
        <v>45</v>
      </c>
      <c r="F41" s="13" t="s">
        <v>259</v>
      </c>
      <c r="G41" s="13" t="s">
        <v>260</v>
      </c>
      <c r="H41" s="13" t="s">
        <v>93</v>
      </c>
      <c r="I41" s="13"/>
      <c r="J41" s="13" t="s">
        <v>261</v>
      </c>
      <c r="K41" s="20"/>
      <c r="L41" s="20" t="s">
        <v>88</v>
      </c>
      <c r="M41" s="13" t="str">
        <f aca="false">IF(AND(E41="Implemented",L41&lt;&gt;"Yes"),"Validate evidence",IF(AND(D41="Yes",E41="N/A"),"Status conflict",IF(AND(D41="No",E41&lt;&gt;"N/A"),"Status conflict","OK")))</f>
        <v>OK</v>
      </c>
    </row>
    <row r="42" customFormat="false" ht="15" hidden="false" customHeight="false" outlineLevel="0" collapsed="false">
      <c r="A42" s="13" t="s">
        <v>48</v>
      </c>
      <c r="B42" s="19" t="s">
        <v>262</v>
      </c>
      <c r="C42" s="13" t="s">
        <v>263</v>
      </c>
      <c r="D42" s="13" t="s">
        <v>73</v>
      </c>
      <c r="E42" s="13" t="s">
        <v>44</v>
      </c>
      <c r="F42" s="13" t="s">
        <v>264</v>
      </c>
      <c r="G42" s="13" t="s">
        <v>253</v>
      </c>
      <c r="H42" s="13" t="s">
        <v>206</v>
      </c>
      <c r="I42" s="13"/>
      <c r="J42" s="13"/>
      <c r="K42" s="20"/>
      <c r="L42" s="20" t="s">
        <v>77</v>
      </c>
      <c r="M42" s="13" t="str">
        <f aca="false">IF(AND(E42="Implemented",L42&lt;&gt;"Yes"),"Validate evidence",IF(AND(D42="Yes",E42="N/A"),"Status conflict",IF(AND(D42="No",E42&lt;&gt;"N/A"),"Status conflict","OK")))</f>
        <v>Validate evidence</v>
      </c>
    </row>
    <row r="43" customFormat="false" ht="22.35" hidden="false" customHeight="false" outlineLevel="0" collapsed="false">
      <c r="A43" s="13" t="s">
        <v>48</v>
      </c>
      <c r="B43" s="19" t="s">
        <v>265</v>
      </c>
      <c r="C43" s="13" t="s">
        <v>266</v>
      </c>
      <c r="D43" s="13" t="s">
        <v>73</v>
      </c>
      <c r="E43" s="13" t="s">
        <v>44</v>
      </c>
      <c r="F43" s="13" t="s">
        <v>267</v>
      </c>
      <c r="G43" s="13" t="s">
        <v>126</v>
      </c>
      <c r="H43" s="13" t="s">
        <v>127</v>
      </c>
      <c r="I43" s="13"/>
      <c r="J43" s="13"/>
      <c r="K43" s="20"/>
      <c r="L43" s="20" t="s">
        <v>77</v>
      </c>
      <c r="M43" s="13" t="str">
        <f aca="false">IF(AND(E43="Implemented",L43&lt;&gt;"Yes"),"Validate evidence",IF(AND(D43="Yes",E43="N/A"),"Status conflict",IF(AND(D43="No",E43&lt;&gt;"N/A"),"Status conflict","OK")))</f>
        <v>Validate evidence</v>
      </c>
    </row>
    <row r="44" customFormat="false" ht="15" hidden="false" customHeight="false" outlineLevel="0" collapsed="false">
      <c r="A44" s="13" t="s">
        <v>48</v>
      </c>
      <c r="B44" s="19" t="s">
        <v>268</v>
      </c>
      <c r="C44" s="13" t="s">
        <v>269</v>
      </c>
      <c r="D44" s="13" t="s">
        <v>73</v>
      </c>
      <c r="E44" s="13" t="s">
        <v>44</v>
      </c>
      <c r="F44" s="13" t="s">
        <v>270</v>
      </c>
      <c r="G44" s="13" t="s">
        <v>271</v>
      </c>
      <c r="H44" s="13" t="s">
        <v>272</v>
      </c>
      <c r="I44" s="13"/>
      <c r="J44" s="13"/>
      <c r="K44" s="20"/>
      <c r="L44" s="20" t="s">
        <v>77</v>
      </c>
      <c r="M44" s="13" t="str">
        <f aca="false">IF(AND(E44="Implemented",L44&lt;&gt;"Yes"),"Validate evidence",IF(AND(D44="Yes",E44="N/A"),"Status conflict",IF(AND(D44="No",E44&lt;&gt;"N/A"),"Status conflict","OK")))</f>
        <v>Validate evidence</v>
      </c>
    </row>
    <row r="45" customFormat="false" ht="22.35" hidden="false" customHeight="false" outlineLevel="0" collapsed="false">
      <c r="A45" s="13" t="s">
        <v>48</v>
      </c>
      <c r="B45" s="19" t="s">
        <v>273</v>
      </c>
      <c r="C45" s="13" t="s">
        <v>274</v>
      </c>
      <c r="D45" s="13" t="s">
        <v>73</v>
      </c>
      <c r="E45" s="13" t="s">
        <v>45</v>
      </c>
      <c r="F45" s="13" t="s">
        <v>275</v>
      </c>
      <c r="G45" s="13" t="s">
        <v>276</v>
      </c>
      <c r="H45" s="13" t="s">
        <v>277</v>
      </c>
      <c r="I45" s="13"/>
      <c r="J45" s="13"/>
      <c r="K45" s="20"/>
      <c r="L45" s="20" t="s">
        <v>88</v>
      </c>
      <c r="M45" s="13" t="str">
        <f aca="false">IF(AND(E45="Implemented",L45&lt;&gt;"Yes"),"Validate evidence",IF(AND(D45="Yes",E45="N/A"),"Status conflict",IF(AND(D45="No",E45&lt;&gt;"N/A"),"Status conflict","OK")))</f>
        <v>OK</v>
      </c>
    </row>
    <row r="46" customFormat="false" ht="22.35" hidden="false" customHeight="false" outlineLevel="0" collapsed="false">
      <c r="A46" s="13" t="s">
        <v>48</v>
      </c>
      <c r="B46" s="19" t="s">
        <v>278</v>
      </c>
      <c r="C46" s="13" t="s">
        <v>279</v>
      </c>
      <c r="D46" s="13" t="s">
        <v>73</v>
      </c>
      <c r="E46" s="13" t="s">
        <v>44</v>
      </c>
      <c r="F46" s="13" t="s">
        <v>280</v>
      </c>
      <c r="G46" s="13" t="s">
        <v>281</v>
      </c>
      <c r="H46" s="13" t="s">
        <v>282</v>
      </c>
      <c r="I46" s="13"/>
      <c r="J46" s="13"/>
      <c r="K46" s="20"/>
      <c r="L46" s="20" t="s">
        <v>77</v>
      </c>
      <c r="M46" s="13" t="str">
        <f aca="false">IF(AND(E46="Implemented",L46&lt;&gt;"Yes"),"Validate evidence",IF(AND(D46="Yes",E46="N/A"),"Status conflict",IF(AND(D46="No",E46&lt;&gt;"N/A"),"Status conflict","OK")))</f>
        <v>Validate evidence</v>
      </c>
    </row>
    <row r="47" customFormat="false" ht="22.35" hidden="false" customHeight="false" outlineLevel="0" collapsed="false">
      <c r="A47" s="13" t="s">
        <v>49</v>
      </c>
      <c r="B47" s="19" t="s">
        <v>283</v>
      </c>
      <c r="C47" s="13" t="s">
        <v>284</v>
      </c>
      <c r="D47" s="13" t="s">
        <v>285</v>
      </c>
      <c r="E47" s="13" t="s">
        <v>286</v>
      </c>
      <c r="F47" s="13" t="s">
        <v>287</v>
      </c>
      <c r="G47" s="13" t="s">
        <v>288</v>
      </c>
      <c r="H47" s="13"/>
      <c r="I47" s="13" t="s">
        <v>289</v>
      </c>
      <c r="J47" s="13"/>
      <c r="K47" s="20"/>
      <c r="L47" s="20" t="s">
        <v>88</v>
      </c>
      <c r="M47" s="13" t="str">
        <f aca="false">IF(AND(E47="Implemented",L47&lt;&gt;"Yes"),"Validate evidence",IF(AND(D47="Yes",E47="N/A"),"Status conflict",IF(AND(D47="No",E47&lt;&gt;"N/A"),"Status conflict","OK")))</f>
        <v>OK</v>
      </c>
    </row>
    <row r="48" customFormat="false" ht="22.35" hidden="false" customHeight="false" outlineLevel="0" collapsed="false">
      <c r="A48" s="13" t="s">
        <v>49</v>
      </c>
      <c r="B48" s="19" t="s">
        <v>290</v>
      </c>
      <c r="C48" s="13" t="s">
        <v>291</v>
      </c>
      <c r="D48" s="13" t="s">
        <v>285</v>
      </c>
      <c r="E48" s="13" t="s">
        <v>286</v>
      </c>
      <c r="F48" s="13" t="s">
        <v>292</v>
      </c>
      <c r="G48" s="13" t="s">
        <v>288</v>
      </c>
      <c r="H48" s="13"/>
      <c r="I48" s="13" t="s">
        <v>289</v>
      </c>
      <c r="J48" s="13"/>
      <c r="K48" s="20"/>
      <c r="L48" s="20" t="s">
        <v>88</v>
      </c>
      <c r="M48" s="13" t="str">
        <f aca="false">IF(AND(E48="Implemented",L48&lt;&gt;"Yes"),"Validate evidence",IF(AND(D48="Yes",E48="N/A"),"Status conflict",IF(AND(D48="No",E48&lt;&gt;"N/A"),"Status conflict","OK")))</f>
        <v>OK</v>
      </c>
    </row>
    <row r="49" customFormat="false" ht="22.35" hidden="false" customHeight="false" outlineLevel="0" collapsed="false">
      <c r="A49" s="13" t="s">
        <v>49</v>
      </c>
      <c r="B49" s="19" t="s">
        <v>293</v>
      </c>
      <c r="C49" s="13" t="s">
        <v>294</v>
      </c>
      <c r="D49" s="13" t="s">
        <v>285</v>
      </c>
      <c r="E49" s="13" t="s">
        <v>286</v>
      </c>
      <c r="F49" s="13" t="s">
        <v>295</v>
      </c>
      <c r="G49" s="13" t="s">
        <v>288</v>
      </c>
      <c r="H49" s="13"/>
      <c r="I49" s="13" t="s">
        <v>289</v>
      </c>
      <c r="J49" s="13"/>
      <c r="K49" s="20"/>
      <c r="L49" s="20" t="s">
        <v>88</v>
      </c>
      <c r="M49" s="13" t="str">
        <f aca="false">IF(AND(E49="Implemented",L49&lt;&gt;"Yes"),"Validate evidence",IF(AND(D49="Yes",E49="N/A"),"Status conflict",IF(AND(D49="No",E49&lt;&gt;"N/A"),"Status conflict","OK")))</f>
        <v>OK</v>
      </c>
    </row>
    <row r="50" customFormat="false" ht="22.35" hidden="false" customHeight="false" outlineLevel="0" collapsed="false">
      <c r="A50" s="13" t="s">
        <v>49</v>
      </c>
      <c r="B50" s="19" t="s">
        <v>296</v>
      </c>
      <c r="C50" s="13" t="s">
        <v>297</v>
      </c>
      <c r="D50" s="13" t="s">
        <v>285</v>
      </c>
      <c r="E50" s="13" t="s">
        <v>286</v>
      </c>
      <c r="F50" s="13" t="s">
        <v>298</v>
      </c>
      <c r="G50" s="13" t="s">
        <v>299</v>
      </c>
      <c r="H50" s="13"/>
      <c r="I50" s="13" t="s">
        <v>300</v>
      </c>
      <c r="J50" s="13"/>
      <c r="K50" s="20"/>
      <c r="L50" s="20" t="s">
        <v>88</v>
      </c>
      <c r="M50" s="13" t="str">
        <f aca="false">IF(AND(E50="Implemented",L50&lt;&gt;"Yes"),"Validate evidence",IF(AND(D50="Yes",E50="N/A"),"Status conflict",IF(AND(D50="No",E50&lt;&gt;"N/A"),"Status conflict","OK")))</f>
        <v>OK</v>
      </c>
    </row>
    <row r="51" customFormat="false" ht="22.35" hidden="false" customHeight="false" outlineLevel="0" collapsed="false">
      <c r="A51" s="13" t="s">
        <v>49</v>
      </c>
      <c r="B51" s="19" t="s">
        <v>301</v>
      </c>
      <c r="C51" s="13" t="s">
        <v>302</v>
      </c>
      <c r="D51" s="13" t="s">
        <v>285</v>
      </c>
      <c r="E51" s="13" t="s">
        <v>286</v>
      </c>
      <c r="F51" s="13" t="s">
        <v>303</v>
      </c>
      <c r="G51" s="13" t="s">
        <v>299</v>
      </c>
      <c r="H51" s="13"/>
      <c r="I51" s="13" t="s">
        <v>300</v>
      </c>
      <c r="J51" s="13"/>
      <c r="K51" s="20"/>
      <c r="L51" s="20" t="s">
        <v>88</v>
      </c>
      <c r="M51" s="13" t="str">
        <f aca="false">IF(AND(E51="Implemented",L51&lt;&gt;"Yes"),"Validate evidence",IF(AND(D51="Yes",E51="N/A"),"Status conflict",IF(AND(D51="No",E51&lt;&gt;"N/A"),"Status conflict","OK")))</f>
        <v>OK</v>
      </c>
    </row>
    <row r="52" customFormat="false" ht="15" hidden="false" customHeight="false" outlineLevel="0" collapsed="false">
      <c r="A52" s="13" t="s">
        <v>49</v>
      </c>
      <c r="B52" s="19" t="s">
        <v>304</v>
      </c>
      <c r="C52" s="13" t="s">
        <v>305</v>
      </c>
      <c r="D52" s="13" t="s">
        <v>285</v>
      </c>
      <c r="E52" s="13" t="s">
        <v>286</v>
      </c>
      <c r="F52" s="13" t="s">
        <v>306</v>
      </c>
      <c r="G52" s="13" t="s">
        <v>288</v>
      </c>
      <c r="H52" s="13"/>
      <c r="I52" s="13" t="s">
        <v>289</v>
      </c>
      <c r="J52" s="13"/>
      <c r="K52" s="20"/>
      <c r="L52" s="20" t="s">
        <v>88</v>
      </c>
      <c r="M52" s="13" t="str">
        <f aca="false">IF(AND(E52="Implemented",L52&lt;&gt;"Yes"),"Validate evidence",IF(AND(D52="Yes",E52="N/A"),"Status conflict",IF(AND(D52="No",E52&lt;&gt;"N/A"),"Status conflict","OK")))</f>
        <v>OK</v>
      </c>
    </row>
    <row r="53" customFormat="false" ht="22.35" hidden="false" customHeight="false" outlineLevel="0" collapsed="false">
      <c r="A53" s="13" t="s">
        <v>49</v>
      </c>
      <c r="B53" s="19" t="s">
        <v>307</v>
      </c>
      <c r="C53" s="13" t="s">
        <v>308</v>
      </c>
      <c r="D53" s="13" t="s">
        <v>73</v>
      </c>
      <c r="E53" s="13" t="s">
        <v>45</v>
      </c>
      <c r="F53" s="13" t="s">
        <v>309</v>
      </c>
      <c r="G53" s="13" t="s">
        <v>276</v>
      </c>
      <c r="H53" s="13" t="s">
        <v>277</v>
      </c>
      <c r="I53" s="13"/>
      <c r="J53" s="13"/>
      <c r="K53" s="20"/>
      <c r="L53" s="20" t="s">
        <v>88</v>
      </c>
      <c r="M53" s="13" t="str">
        <f aca="false">IF(AND(E53="Implemented",L53&lt;&gt;"Yes"),"Validate evidence",IF(AND(D53="Yes",E53="N/A"),"Status conflict",IF(AND(D53="No",E53&lt;&gt;"N/A"),"Status conflict","OK")))</f>
        <v>OK</v>
      </c>
    </row>
    <row r="54" customFormat="false" ht="22.35" hidden="false" customHeight="false" outlineLevel="0" collapsed="false">
      <c r="A54" s="13" t="s">
        <v>49</v>
      </c>
      <c r="B54" s="19" t="s">
        <v>310</v>
      </c>
      <c r="C54" s="13" t="s">
        <v>311</v>
      </c>
      <c r="D54" s="13" t="s">
        <v>285</v>
      </c>
      <c r="E54" s="13" t="s">
        <v>286</v>
      </c>
      <c r="F54" s="13" t="s">
        <v>312</v>
      </c>
      <c r="G54" s="13" t="s">
        <v>313</v>
      </c>
      <c r="H54" s="13"/>
      <c r="I54" s="13" t="s">
        <v>314</v>
      </c>
      <c r="J54" s="13"/>
      <c r="K54" s="20"/>
      <c r="L54" s="20" t="s">
        <v>88</v>
      </c>
      <c r="M54" s="13" t="str">
        <f aca="false">IF(AND(E54="Implemented",L54&lt;&gt;"Yes"),"Validate evidence",IF(AND(D54="Yes",E54="N/A"),"Status conflict",IF(AND(D54="No",E54&lt;&gt;"N/A"),"Status conflict","OK")))</f>
        <v>OK</v>
      </c>
    </row>
    <row r="55" customFormat="false" ht="32.8" hidden="false" customHeight="false" outlineLevel="0" collapsed="false">
      <c r="A55" s="13" t="s">
        <v>49</v>
      </c>
      <c r="B55" s="19" t="s">
        <v>315</v>
      </c>
      <c r="C55" s="13" t="s">
        <v>316</v>
      </c>
      <c r="D55" s="13" t="s">
        <v>73</v>
      </c>
      <c r="E55" s="13" t="s">
        <v>44</v>
      </c>
      <c r="F55" s="13" t="s">
        <v>317</v>
      </c>
      <c r="G55" s="13" t="s">
        <v>318</v>
      </c>
      <c r="H55" s="13" t="s">
        <v>117</v>
      </c>
      <c r="I55" s="13"/>
      <c r="J55" s="13"/>
      <c r="K55" s="20"/>
      <c r="L55" s="20" t="s">
        <v>77</v>
      </c>
      <c r="M55" s="13" t="str">
        <f aca="false">IF(AND(E55="Implemented",L55&lt;&gt;"Yes"),"Validate evidence",IF(AND(D55="Yes",E55="N/A"),"Status conflict",IF(AND(D55="No",E55&lt;&gt;"N/A"),"Status conflict","OK")))</f>
        <v>Validate evidence</v>
      </c>
    </row>
    <row r="56" customFormat="false" ht="22.35" hidden="false" customHeight="false" outlineLevel="0" collapsed="false">
      <c r="A56" s="13" t="s">
        <v>49</v>
      </c>
      <c r="B56" s="19" t="s">
        <v>319</v>
      </c>
      <c r="C56" s="13" t="s">
        <v>320</v>
      </c>
      <c r="D56" s="13" t="s">
        <v>73</v>
      </c>
      <c r="E56" s="13" t="s">
        <v>45</v>
      </c>
      <c r="F56" s="13" t="s">
        <v>321</v>
      </c>
      <c r="G56" s="13" t="s">
        <v>276</v>
      </c>
      <c r="H56" s="13" t="s">
        <v>127</v>
      </c>
      <c r="I56" s="13"/>
      <c r="J56" s="13"/>
      <c r="K56" s="20"/>
      <c r="L56" s="20" t="s">
        <v>88</v>
      </c>
      <c r="M56" s="13" t="str">
        <f aca="false">IF(AND(E56="Implemented",L56&lt;&gt;"Yes"),"Validate evidence",IF(AND(D56="Yes",E56="N/A"),"Status conflict",IF(AND(D56="No",E56&lt;&gt;"N/A"),"Status conflict","OK")))</f>
        <v>OK</v>
      </c>
    </row>
    <row r="57" customFormat="false" ht="22.35" hidden="false" customHeight="false" outlineLevel="0" collapsed="false">
      <c r="A57" s="13" t="s">
        <v>49</v>
      </c>
      <c r="B57" s="19" t="s">
        <v>322</v>
      </c>
      <c r="C57" s="13" t="s">
        <v>323</v>
      </c>
      <c r="D57" s="13" t="s">
        <v>285</v>
      </c>
      <c r="E57" s="13" t="s">
        <v>286</v>
      </c>
      <c r="F57" s="13" t="s">
        <v>324</v>
      </c>
      <c r="G57" s="13" t="s">
        <v>299</v>
      </c>
      <c r="H57" s="13"/>
      <c r="I57" s="13" t="s">
        <v>300</v>
      </c>
      <c r="J57" s="13"/>
      <c r="K57" s="20"/>
      <c r="L57" s="20" t="s">
        <v>88</v>
      </c>
      <c r="M57" s="13" t="str">
        <f aca="false">IF(AND(E57="Implemented",L57&lt;&gt;"Yes"),"Validate evidence",IF(AND(D57="Yes",E57="N/A"),"Status conflict",IF(AND(D57="No",E57&lt;&gt;"N/A"),"Status conflict","OK")))</f>
        <v>OK</v>
      </c>
    </row>
    <row r="58" customFormat="false" ht="22.35" hidden="false" customHeight="false" outlineLevel="0" collapsed="false">
      <c r="A58" s="13" t="s">
        <v>49</v>
      </c>
      <c r="B58" s="19" t="s">
        <v>325</v>
      </c>
      <c r="C58" s="13" t="s">
        <v>326</v>
      </c>
      <c r="D58" s="13" t="s">
        <v>285</v>
      </c>
      <c r="E58" s="13" t="s">
        <v>286</v>
      </c>
      <c r="F58" s="13" t="s">
        <v>327</v>
      </c>
      <c r="G58" s="13" t="s">
        <v>288</v>
      </c>
      <c r="H58" s="13"/>
      <c r="I58" s="13" t="s">
        <v>314</v>
      </c>
      <c r="J58" s="13"/>
      <c r="K58" s="20"/>
      <c r="L58" s="20" t="s">
        <v>88</v>
      </c>
      <c r="M58" s="13" t="str">
        <f aca="false">IF(AND(E58="Implemented",L58&lt;&gt;"Yes"),"Validate evidence",IF(AND(D58="Yes",E58="N/A"),"Status conflict",IF(AND(D58="No",E58&lt;&gt;"N/A"),"Status conflict","OK")))</f>
        <v>OK</v>
      </c>
    </row>
    <row r="59" customFormat="false" ht="22.35" hidden="false" customHeight="false" outlineLevel="0" collapsed="false">
      <c r="A59" s="13" t="s">
        <v>49</v>
      </c>
      <c r="B59" s="19" t="s">
        <v>328</v>
      </c>
      <c r="C59" s="13" t="s">
        <v>329</v>
      </c>
      <c r="D59" s="13" t="s">
        <v>73</v>
      </c>
      <c r="E59" s="13" t="s">
        <v>45</v>
      </c>
      <c r="F59" s="13" t="s">
        <v>330</v>
      </c>
      <c r="G59" s="13" t="s">
        <v>318</v>
      </c>
      <c r="H59" s="13" t="s">
        <v>117</v>
      </c>
      <c r="I59" s="13"/>
      <c r="J59" s="13"/>
      <c r="K59" s="20"/>
      <c r="L59" s="20" t="s">
        <v>88</v>
      </c>
      <c r="M59" s="13" t="str">
        <f aca="false">IF(AND(E59="Implemented",L59&lt;&gt;"Yes"),"Validate evidence",IF(AND(D59="Yes",E59="N/A"),"Status conflict",IF(AND(D59="No",E59&lt;&gt;"N/A"),"Status conflict","OK")))</f>
        <v>OK</v>
      </c>
    </row>
    <row r="60" customFormat="false" ht="22.35" hidden="false" customHeight="false" outlineLevel="0" collapsed="false">
      <c r="A60" s="13" t="s">
        <v>49</v>
      </c>
      <c r="B60" s="19" t="s">
        <v>331</v>
      </c>
      <c r="C60" s="13" t="s">
        <v>332</v>
      </c>
      <c r="D60" s="13" t="s">
        <v>73</v>
      </c>
      <c r="E60" s="13" t="s">
        <v>45</v>
      </c>
      <c r="F60" s="13" t="s">
        <v>333</v>
      </c>
      <c r="G60" s="13" t="s">
        <v>334</v>
      </c>
      <c r="H60" s="13" t="s">
        <v>335</v>
      </c>
      <c r="I60" s="13"/>
      <c r="J60" s="13"/>
      <c r="K60" s="20"/>
      <c r="L60" s="20" t="s">
        <v>88</v>
      </c>
      <c r="M60" s="13" t="str">
        <f aca="false">IF(AND(E60="Implemented",L60&lt;&gt;"Yes"),"Validate evidence",IF(AND(D60="Yes",E60="N/A"),"Status conflict",IF(AND(D60="No",E60&lt;&gt;"N/A"),"Status conflict","OK")))</f>
        <v>OK</v>
      </c>
    </row>
    <row r="61" customFormat="false" ht="22.35" hidden="false" customHeight="false" outlineLevel="0" collapsed="false">
      <c r="A61" s="13" t="s">
        <v>50</v>
      </c>
      <c r="B61" s="19" t="s">
        <v>336</v>
      </c>
      <c r="C61" s="13" t="s">
        <v>337</v>
      </c>
      <c r="D61" s="13" t="s">
        <v>73</v>
      </c>
      <c r="E61" s="13" t="s">
        <v>44</v>
      </c>
      <c r="F61" s="13" t="s">
        <v>338</v>
      </c>
      <c r="G61" s="13" t="s">
        <v>339</v>
      </c>
      <c r="H61" s="13" t="s">
        <v>277</v>
      </c>
      <c r="I61" s="13"/>
      <c r="J61" s="13"/>
      <c r="K61" s="20"/>
      <c r="L61" s="20" t="s">
        <v>77</v>
      </c>
      <c r="M61" s="13" t="str">
        <f aca="false">IF(AND(E61="Implemented",L61&lt;&gt;"Yes"),"Validate evidence",IF(AND(D61="Yes",E61="N/A"),"Status conflict",IF(AND(D61="No",E61&lt;&gt;"N/A"),"Status conflict","OK")))</f>
        <v>Validate evidence</v>
      </c>
    </row>
    <row r="62" customFormat="false" ht="22.35" hidden="false" customHeight="false" outlineLevel="0" collapsed="false">
      <c r="A62" s="13" t="s">
        <v>50</v>
      </c>
      <c r="B62" s="19" t="s">
        <v>340</v>
      </c>
      <c r="C62" s="13" t="s">
        <v>341</v>
      </c>
      <c r="D62" s="13" t="s">
        <v>73</v>
      </c>
      <c r="E62" s="13" t="s">
        <v>45</v>
      </c>
      <c r="F62" s="13" t="s">
        <v>342</v>
      </c>
      <c r="G62" s="13" t="s">
        <v>159</v>
      </c>
      <c r="H62" s="13" t="s">
        <v>87</v>
      </c>
      <c r="I62" s="13"/>
      <c r="J62" s="13" t="s">
        <v>343</v>
      </c>
      <c r="K62" s="20"/>
      <c r="L62" s="20" t="s">
        <v>88</v>
      </c>
      <c r="M62" s="13" t="str">
        <f aca="false">IF(AND(E62="Implemented",L62&lt;&gt;"Yes"),"Validate evidence",IF(AND(D62="Yes",E62="N/A"),"Status conflict",IF(AND(D62="No",E62&lt;&gt;"N/A"),"Status conflict","OK")))</f>
        <v>OK</v>
      </c>
    </row>
    <row r="63" customFormat="false" ht="22.35" hidden="false" customHeight="false" outlineLevel="0" collapsed="false">
      <c r="A63" s="13" t="s">
        <v>50</v>
      </c>
      <c r="B63" s="19" t="s">
        <v>344</v>
      </c>
      <c r="C63" s="13" t="s">
        <v>345</v>
      </c>
      <c r="D63" s="13" t="s">
        <v>73</v>
      </c>
      <c r="E63" s="13" t="s">
        <v>44</v>
      </c>
      <c r="F63" s="13" t="s">
        <v>346</v>
      </c>
      <c r="G63" s="13" t="s">
        <v>347</v>
      </c>
      <c r="H63" s="13" t="s">
        <v>146</v>
      </c>
      <c r="I63" s="13"/>
      <c r="J63" s="13"/>
      <c r="K63" s="20"/>
      <c r="L63" s="20" t="s">
        <v>77</v>
      </c>
      <c r="M63" s="13" t="str">
        <f aca="false">IF(AND(E63="Implemented",L63&lt;&gt;"Yes"),"Validate evidence",IF(AND(D63="Yes",E63="N/A"),"Status conflict",IF(AND(D63="No",E63&lt;&gt;"N/A"),"Status conflict","OK")))</f>
        <v>Validate evidence</v>
      </c>
    </row>
    <row r="64" customFormat="false" ht="22.35" hidden="false" customHeight="false" outlineLevel="0" collapsed="false">
      <c r="A64" s="13" t="s">
        <v>50</v>
      </c>
      <c r="B64" s="19" t="s">
        <v>348</v>
      </c>
      <c r="C64" s="13" t="s">
        <v>349</v>
      </c>
      <c r="D64" s="13" t="s">
        <v>73</v>
      </c>
      <c r="E64" s="13" t="s">
        <v>44</v>
      </c>
      <c r="F64" s="13" t="s">
        <v>350</v>
      </c>
      <c r="G64" s="13" t="s">
        <v>351</v>
      </c>
      <c r="H64" s="13" t="s">
        <v>352</v>
      </c>
      <c r="I64" s="13"/>
      <c r="J64" s="13"/>
      <c r="K64" s="20"/>
      <c r="L64" s="20" t="s">
        <v>77</v>
      </c>
      <c r="M64" s="13" t="str">
        <f aca="false">IF(AND(E64="Implemented",L64&lt;&gt;"Yes"),"Validate evidence",IF(AND(D64="Yes",E64="N/A"),"Status conflict",IF(AND(D64="No",E64&lt;&gt;"N/A"),"Status conflict","OK")))</f>
        <v>Validate evidence</v>
      </c>
    </row>
    <row r="65" customFormat="false" ht="22.35" hidden="false" customHeight="false" outlineLevel="0" collapsed="false">
      <c r="A65" s="13" t="s">
        <v>50</v>
      </c>
      <c r="B65" s="19" t="s">
        <v>353</v>
      </c>
      <c r="C65" s="13" t="s">
        <v>354</v>
      </c>
      <c r="D65" s="13" t="s">
        <v>73</v>
      </c>
      <c r="E65" s="13" t="s">
        <v>44</v>
      </c>
      <c r="F65" s="13" t="s">
        <v>355</v>
      </c>
      <c r="G65" s="13" t="s">
        <v>356</v>
      </c>
      <c r="H65" s="13" t="s">
        <v>357</v>
      </c>
      <c r="I65" s="13"/>
      <c r="J65" s="13"/>
      <c r="K65" s="20"/>
      <c r="L65" s="20" t="s">
        <v>77</v>
      </c>
      <c r="M65" s="13" t="str">
        <f aca="false">IF(AND(E65="Implemented",L65&lt;&gt;"Yes"),"Validate evidence",IF(AND(D65="Yes",E65="N/A"),"Status conflict",IF(AND(D65="No",E65&lt;&gt;"N/A"),"Status conflict","OK")))</f>
        <v>Validate evidence</v>
      </c>
    </row>
    <row r="66" customFormat="false" ht="22.35" hidden="false" customHeight="false" outlineLevel="0" collapsed="false">
      <c r="A66" s="13" t="s">
        <v>50</v>
      </c>
      <c r="B66" s="19" t="s">
        <v>358</v>
      </c>
      <c r="C66" s="13" t="s">
        <v>359</v>
      </c>
      <c r="D66" s="13" t="s">
        <v>73</v>
      </c>
      <c r="E66" s="13" t="s">
        <v>45</v>
      </c>
      <c r="F66" s="13" t="s">
        <v>360</v>
      </c>
      <c r="G66" s="13" t="s">
        <v>361</v>
      </c>
      <c r="H66" s="13" t="s">
        <v>362</v>
      </c>
      <c r="I66" s="13"/>
      <c r="J66" s="13"/>
      <c r="K66" s="20"/>
      <c r="L66" s="20" t="s">
        <v>88</v>
      </c>
      <c r="M66" s="13" t="str">
        <f aca="false">IF(AND(E66="Implemented",L66&lt;&gt;"Yes"),"Validate evidence",IF(AND(D66="Yes",E66="N/A"),"Status conflict",IF(AND(D66="No",E66&lt;&gt;"N/A"),"Status conflict","OK")))</f>
        <v>OK</v>
      </c>
    </row>
    <row r="67" customFormat="false" ht="15" hidden="false" customHeight="false" outlineLevel="0" collapsed="false">
      <c r="A67" s="13" t="s">
        <v>50</v>
      </c>
      <c r="B67" s="19" t="s">
        <v>363</v>
      </c>
      <c r="C67" s="13" t="s">
        <v>364</v>
      </c>
      <c r="D67" s="13" t="s">
        <v>73</v>
      </c>
      <c r="E67" s="13" t="s">
        <v>44</v>
      </c>
      <c r="F67" s="13" t="s">
        <v>365</v>
      </c>
      <c r="G67" s="13" t="s">
        <v>339</v>
      </c>
      <c r="H67" s="13" t="s">
        <v>366</v>
      </c>
      <c r="I67" s="13"/>
      <c r="J67" s="13"/>
      <c r="K67" s="20"/>
      <c r="L67" s="20" t="s">
        <v>77</v>
      </c>
      <c r="M67" s="13" t="str">
        <f aca="false">IF(AND(E67="Implemented",L67&lt;&gt;"Yes"),"Validate evidence",IF(AND(D67="Yes",E67="N/A"),"Status conflict",IF(AND(D67="No",E67&lt;&gt;"N/A"),"Status conflict","OK")))</f>
        <v>Validate evidence</v>
      </c>
    </row>
    <row r="68" customFormat="false" ht="22.35" hidden="false" customHeight="false" outlineLevel="0" collapsed="false">
      <c r="A68" s="13" t="s">
        <v>50</v>
      </c>
      <c r="B68" s="19" t="s">
        <v>367</v>
      </c>
      <c r="C68" s="13" t="s">
        <v>368</v>
      </c>
      <c r="D68" s="13" t="s">
        <v>73</v>
      </c>
      <c r="E68" s="13" t="s">
        <v>45</v>
      </c>
      <c r="F68" s="13" t="s">
        <v>369</v>
      </c>
      <c r="G68" s="13" t="s">
        <v>370</v>
      </c>
      <c r="H68" s="13" t="s">
        <v>371</v>
      </c>
      <c r="I68" s="13"/>
      <c r="J68" s="13" t="s">
        <v>372</v>
      </c>
      <c r="K68" s="20"/>
      <c r="L68" s="20" t="s">
        <v>88</v>
      </c>
      <c r="M68" s="13" t="str">
        <f aca="false">IF(AND(E68="Implemented",L68&lt;&gt;"Yes"),"Validate evidence",IF(AND(D68="Yes",E68="N/A"),"Status conflict",IF(AND(D68="No",E68&lt;&gt;"N/A"),"Status conflict","OK")))</f>
        <v>OK</v>
      </c>
    </row>
    <row r="69" customFormat="false" ht="22.35" hidden="false" customHeight="false" outlineLevel="0" collapsed="false">
      <c r="A69" s="13" t="s">
        <v>50</v>
      </c>
      <c r="B69" s="19" t="s">
        <v>373</v>
      </c>
      <c r="C69" s="13" t="s">
        <v>374</v>
      </c>
      <c r="D69" s="13" t="s">
        <v>73</v>
      </c>
      <c r="E69" s="13" t="s">
        <v>45</v>
      </c>
      <c r="F69" s="13" t="s">
        <v>375</v>
      </c>
      <c r="G69" s="13" t="s">
        <v>376</v>
      </c>
      <c r="H69" s="13" t="s">
        <v>377</v>
      </c>
      <c r="I69" s="13"/>
      <c r="J69" s="13" t="s">
        <v>378</v>
      </c>
      <c r="K69" s="20"/>
      <c r="L69" s="20" t="s">
        <v>88</v>
      </c>
      <c r="M69" s="13" t="str">
        <f aca="false">IF(AND(E69="Implemented",L69&lt;&gt;"Yes"),"Validate evidence",IF(AND(D69="Yes",E69="N/A"),"Status conflict",IF(AND(D69="No",E69&lt;&gt;"N/A"),"Status conflict","OK")))</f>
        <v>OK</v>
      </c>
    </row>
    <row r="70" customFormat="false" ht="22.35" hidden="false" customHeight="false" outlineLevel="0" collapsed="false">
      <c r="A70" s="13" t="s">
        <v>50</v>
      </c>
      <c r="B70" s="19" t="s">
        <v>379</v>
      </c>
      <c r="C70" s="13" t="s">
        <v>380</v>
      </c>
      <c r="D70" s="13" t="s">
        <v>73</v>
      </c>
      <c r="E70" s="13" t="s">
        <v>45</v>
      </c>
      <c r="F70" s="13" t="s">
        <v>381</v>
      </c>
      <c r="G70" s="13" t="s">
        <v>382</v>
      </c>
      <c r="H70" s="13" t="s">
        <v>231</v>
      </c>
      <c r="I70" s="13"/>
      <c r="J70" s="13"/>
      <c r="K70" s="20"/>
      <c r="L70" s="20" t="s">
        <v>88</v>
      </c>
      <c r="M70" s="13" t="str">
        <f aca="false">IF(AND(E70="Implemented",L70&lt;&gt;"Yes"),"Validate evidence",IF(AND(D70="Yes",E70="N/A"),"Status conflict",IF(AND(D70="No",E70&lt;&gt;"N/A"),"Status conflict","OK")))</f>
        <v>OK</v>
      </c>
    </row>
    <row r="71" customFormat="false" ht="22.35" hidden="false" customHeight="false" outlineLevel="0" collapsed="false">
      <c r="A71" s="13" t="s">
        <v>50</v>
      </c>
      <c r="B71" s="19" t="s">
        <v>383</v>
      </c>
      <c r="C71" s="13" t="s">
        <v>384</v>
      </c>
      <c r="D71" s="13" t="s">
        <v>73</v>
      </c>
      <c r="E71" s="13" t="s">
        <v>46</v>
      </c>
      <c r="F71" s="13" t="s">
        <v>385</v>
      </c>
      <c r="G71" s="13" t="s">
        <v>386</v>
      </c>
      <c r="H71" s="13" t="s">
        <v>141</v>
      </c>
      <c r="I71" s="13"/>
      <c r="J71" s="13" t="s">
        <v>387</v>
      </c>
      <c r="K71" s="20"/>
      <c r="L71" s="20" t="s">
        <v>88</v>
      </c>
      <c r="M71" s="13" t="str">
        <f aca="false">IF(AND(E71="Implemented",L71&lt;&gt;"Yes"),"Validate evidence",IF(AND(D71="Yes",E71="N/A"),"Status conflict",IF(AND(D71="No",E71&lt;&gt;"N/A"),"Status conflict","OK")))</f>
        <v>OK</v>
      </c>
    </row>
    <row r="72" customFormat="false" ht="22.35" hidden="false" customHeight="false" outlineLevel="0" collapsed="false">
      <c r="A72" s="13" t="s">
        <v>50</v>
      </c>
      <c r="B72" s="19" t="s">
        <v>388</v>
      </c>
      <c r="C72" s="13" t="s">
        <v>389</v>
      </c>
      <c r="D72" s="13" t="s">
        <v>73</v>
      </c>
      <c r="E72" s="13" t="s">
        <v>46</v>
      </c>
      <c r="F72" s="13" t="s">
        <v>390</v>
      </c>
      <c r="G72" s="13" t="s">
        <v>391</v>
      </c>
      <c r="H72" s="13" t="s">
        <v>87</v>
      </c>
      <c r="I72" s="13"/>
      <c r="J72" s="13" t="s">
        <v>392</v>
      </c>
      <c r="K72" s="20"/>
      <c r="L72" s="20" t="s">
        <v>88</v>
      </c>
      <c r="M72" s="13" t="str">
        <f aca="false">IF(AND(E72="Implemented",L72&lt;&gt;"Yes"),"Validate evidence",IF(AND(D72="Yes",E72="N/A"),"Status conflict",IF(AND(D72="No",E72&lt;&gt;"N/A"),"Status conflict","OK")))</f>
        <v>OK</v>
      </c>
    </row>
    <row r="73" customFormat="false" ht="22.35" hidden="false" customHeight="false" outlineLevel="0" collapsed="false">
      <c r="A73" s="13" t="s">
        <v>50</v>
      </c>
      <c r="B73" s="19" t="s">
        <v>393</v>
      </c>
      <c r="C73" s="13" t="s">
        <v>394</v>
      </c>
      <c r="D73" s="13" t="s">
        <v>73</v>
      </c>
      <c r="E73" s="13" t="s">
        <v>45</v>
      </c>
      <c r="F73" s="13" t="s">
        <v>395</v>
      </c>
      <c r="G73" s="13" t="s">
        <v>396</v>
      </c>
      <c r="H73" s="13" t="s">
        <v>397</v>
      </c>
      <c r="I73" s="13"/>
      <c r="J73" s="13" t="s">
        <v>217</v>
      </c>
      <c r="K73" s="20"/>
      <c r="L73" s="20" t="s">
        <v>88</v>
      </c>
      <c r="M73" s="13" t="str">
        <f aca="false">IF(AND(E73="Implemented",L73&lt;&gt;"Yes"),"Validate evidence",IF(AND(D73="Yes",E73="N/A"),"Status conflict",IF(AND(D73="No",E73&lt;&gt;"N/A"),"Status conflict","OK")))</f>
        <v>OK</v>
      </c>
    </row>
    <row r="74" customFormat="false" ht="15" hidden="false" customHeight="false" outlineLevel="0" collapsed="false">
      <c r="A74" s="13" t="s">
        <v>50</v>
      </c>
      <c r="B74" s="19" t="s">
        <v>398</v>
      </c>
      <c r="C74" s="13" t="s">
        <v>399</v>
      </c>
      <c r="D74" s="13" t="s">
        <v>73</v>
      </c>
      <c r="E74" s="13" t="s">
        <v>44</v>
      </c>
      <c r="F74" s="13" t="s">
        <v>400</v>
      </c>
      <c r="G74" s="13" t="s">
        <v>401</v>
      </c>
      <c r="H74" s="13" t="s">
        <v>212</v>
      </c>
      <c r="I74" s="13"/>
      <c r="J74" s="13"/>
      <c r="K74" s="20"/>
      <c r="L74" s="20" t="s">
        <v>77</v>
      </c>
      <c r="M74" s="13" t="str">
        <f aca="false">IF(AND(E74="Implemented",L74&lt;&gt;"Yes"),"Validate evidence",IF(AND(D74="Yes",E74="N/A"),"Status conflict",IF(AND(D74="No",E74&lt;&gt;"N/A"),"Status conflict","OK")))</f>
        <v>Validate evidence</v>
      </c>
    </row>
    <row r="75" customFormat="false" ht="22.35" hidden="false" customHeight="false" outlineLevel="0" collapsed="false">
      <c r="A75" s="13" t="s">
        <v>50</v>
      </c>
      <c r="B75" s="19" t="s">
        <v>402</v>
      </c>
      <c r="C75" s="13" t="s">
        <v>403</v>
      </c>
      <c r="D75" s="13" t="s">
        <v>73</v>
      </c>
      <c r="E75" s="13" t="s">
        <v>44</v>
      </c>
      <c r="F75" s="13" t="s">
        <v>404</v>
      </c>
      <c r="G75" s="13" t="s">
        <v>405</v>
      </c>
      <c r="H75" s="13" t="s">
        <v>406</v>
      </c>
      <c r="I75" s="13"/>
      <c r="J75" s="13"/>
      <c r="K75" s="20"/>
      <c r="L75" s="20" t="s">
        <v>77</v>
      </c>
      <c r="M75" s="13" t="str">
        <f aca="false">IF(AND(E75="Implemented",L75&lt;&gt;"Yes"),"Validate evidence",IF(AND(D75="Yes",E75="N/A"),"Status conflict",IF(AND(D75="No",E75&lt;&gt;"N/A"),"Status conflict","OK")))</f>
        <v>Validate evidence</v>
      </c>
    </row>
    <row r="76" customFormat="false" ht="22.35" hidden="false" customHeight="false" outlineLevel="0" collapsed="false">
      <c r="A76" s="13" t="s">
        <v>50</v>
      </c>
      <c r="B76" s="19" t="s">
        <v>407</v>
      </c>
      <c r="C76" s="13" t="s">
        <v>408</v>
      </c>
      <c r="D76" s="13" t="s">
        <v>73</v>
      </c>
      <c r="E76" s="13" t="s">
        <v>45</v>
      </c>
      <c r="F76" s="13" t="s">
        <v>409</v>
      </c>
      <c r="G76" s="13" t="s">
        <v>405</v>
      </c>
      <c r="H76" s="13" t="s">
        <v>410</v>
      </c>
      <c r="I76" s="13"/>
      <c r="J76" s="13" t="s">
        <v>411</v>
      </c>
      <c r="K76" s="20"/>
      <c r="L76" s="20" t="s">
        <v>88</v>
      </c>
      <c r="M76" s="13" t="str">
        <f aca="false">IF(AND(E76="Implemented",L76&lt;&gt;"Yes"),"Validate evidence",IF(AND(D76="Yes",E76="N/A"),"Status conflict",IF(AND(D76="No",E76&lt;&gt;"N/A"),"Status conflict","OK")))</f>
        <v>OK</v>
      </c>
    </row>
    <row r="77" customFormat="false" ht="15" hidden="false" customHeight="false" outlineLevel="0" collapsed="false">
      <c r="A77" s="13" t="s">
        <v>50</v>
      </c>
      <c r="B77" s="19" t="s">
        <v>412</v>
      </c>
      <c r="C77" s="13" t="s">
        <v>413</v>
      </c>
      <c r="D77" s="13" t="s">
        <v>73</v>
      </c>
      <c r="E77" s="13" t="s">
        <v>44</v>
      </c>
      <c r="F77" s="13" t="s">
        <v>414</v>
      </c>
      <c r="G77" s="13" t="s">
        <v>415</v>
      </c>
      <c r="H77" s="13" t="s">
        <v>416</v>
      </c>
      <c r="I77" s="13"/>
      <c r="J77" s="13"/>
      <c r="K77" s="20"/>
      <c r="L77" s="20" t="s">
        <v>77</v>
      </c>
      <c r="M77" s="13" t="str">
        <f aca="false">IF(AND(E77="Implemented",L77&lt;&gt;"Yes"),"Validate evidence",IF(AND(D77="Yes",E77="N/A"),"Status conflict",IF(AND(D77="No",E77&lt;&gt;"N/A"),"Status conflict","OK")))</f>
        <v>Validate evidence</v>
      </c>
    </row>
    <row r="78" customFormat="false" ht="22.35" hidden="false" customHeight="false" outlineLevel="0" collapsed="false">
      <c r="A78" s="13" t="s">
        <v>50</v>
      </c>
      <c r="B78" s="19" t="s">
        <v>417</v>
      </c>
      <c r="C78" s="13" t="s">
        <v>418</v>
      </c>
      <c r="D78" s="13" t="s">
        <v>73</v>
      </c>
      <c r="E78" s="13" t="s">
        <v>45</v>
      </c>
      <c r="F78" s="13" t="s">
        <v>419</v>
      </c>
      <c r="G78" s="13" t="s">
        <v>420</v>
      </c>
      <c r="H78" s="13" t="s">
        <v>146</v>
      </c>
      <c r="I78" s="13"/>
      <c r="J78" s="13"/>
      <c r="K78" s="20"/>
      <c r="L78" s="20" t="s">
        <v>88</v>
      </c>
      <c r="M78" s="13" t="str">
        <f aca="false">IF(AND(E78="Implemented",L78&lt;&gt;"Yes"),"Validate evidence",IF(AND(D78="Yes",E78="N/A"),"Status conflict",IF(AND(D78="No",E78&lt;&gt;"N/A"),"Status conflict","OK")))</f>
        <v>OK</v>
      </c>
    </row>
    <row r="79" customFormat="false" ht="22.35" hidden="false" customHeight="false" outlineLevel="0" collapsed="false">
      <c r="A79" s="13" t="s">
        <v>50</v>
      </c>
      <c r="B79" s="19" t="s">
        <v>421</v>
      </c>
      <c r="C79" s="13" t="s">
        <v>422</v>
      </c>
      <c r="D79" s="13" t="s">
        <v>73</v>
      </c>
      <c r="E79" s="13" t="s">
        <v>44</v>
      </c>
      <c r="F79" s="13" t="s">
        <v>423</v>
      </c>
      <c r="G79" s="13" t="s">
        <v>424</v>
      </c>
      <c r="H79" s="13" t="s">
        <v>425</v>
      </c>
      <c r="I79" s="13"/>
      <c r="J79" s="13"/>
      <c r="K79" s="20"/>
      <c r="L79" s="20" t="s">
        <v>77</v>
      </c>
      <c r="M79" s="13" t="str">
        <f aca="false">IF(AND(E79="Implemented",L79&lt;&gt;"Yes"),"Validate evidence",IF(AND(D79="Yes",E79="N/A"),"Status conflict",IF(AND(D79="No",E79&lt;&gt;"N/A"),"Status conflict","OK")))</f>
        <v>Validate evidence</v>
      </c>
    </row>
    <row r="80" customFormat="false" ht="15" hidden="false" customHeight="false" outlineLevel="0" collapsed="false">
      <c r="A80" s="13" t="s">
        <v>50</v>
      </c>
      <c r="B80" s="19" t="s">
        <v>426</v>
      </c>
      <c r="C80" s="13" t="s">
        <v>427</v>
      </c>
      <c r="D80" s="13" t="s">
        <v>73</v>
      </c>
      <c r="E80" s="13" t="s">
        <v>44</v>
      </c>
      <c r="F80" s="13" t="s">
        <v>428</v>
      </c>
      <c r="G80" s="13" t="s">
        <v>429</v>
      </c>
      <c r="H80" s="13" t="s">
        <v>430</v>
      </c>
      <c r="I80" s="13"/>
      <c r="J80" s="13"/>
      <c r="K80" s="20"/>
      <c r="L80" s="20" t="s">
        <v>77</v>
      </c>
      <c r="M80" s="13" t="str">
        <f aca="false">IF(AND(E80="Implemented",L80&lt;&gt;"Yes"),"Validate evidence",IF(AND(D80="Yes",E80="N/A"),"Status conflict",IF(AND(D80="No",E80&lt;&gt;"N/A"),"Status conflict","OK")))</f>
        <v>Validate evidence</v>
      </c>
    </row>
    <row r="81" customFormat="false" ht="22.35" hidden="false" customHeight="false" outlineLevel="0" collapsed="false">
      <c r="A81" s="13" t="s">
        <v>50</v>
      </c>
      <c r="B81" s="19" t="s">
        <v>431</v>
      </c>
      <c r="C81" s="13" t="s">
        <v>432</v>
      </c>
      <c r="D81" s="13" t="s">
        <v>73</v>
      </c>
      <c r="E81" s="13" t="s">
        <v>45</v>
      </c>
      <c r="F81" s="13" t="s">
        <v>433</v>
      </c>
      <c r="G81" s="13" t="s">
        <v>434</v>
      </c>
      <c r="H81" s="13" t="s">
        <v>435</v>
      </c>
      <c r="I81" s="13"/>
      <c r="J81" s="13"/>
      <c r="K81" s="20"/>
      <c r="L81" s="20" t="s">
        <v>88</v>
      </c>
      <c r="M81" s="13" t="str">
        <f aca="false">IF(AND(E81="Implemented",L81&lt;&gt;"Yes"),"Validate evidence",IF(AND(D81="Yes",E81="N/A"),"Status conflict",IF(AND(D81="No",E81&lt;&gt;"N/A"),"Status conflict","OK")))</f>
        <v>OK</v>
      </c>
    </row>
    <row r="82" customFormat="false" ht="22.35" hidden="false" customHeight="false" outlineLevel="0" collapsed="false">
      <c r="A82" s="13" t="s">
        <v>50</v>
      </c>
      <c r="B82" s="19" t="s">
        <v>436</v>
      </c>
      <c r="C82" s="13" t="s">
        <v>437</v>
      </c>
      <c r="D82" s="13" t="s">
        <v>73</v>
      </c>
      <c r="E82" s="13" t="s">
        <v>44</v>
      </c>
      <c r="F82" s="13" t="s">
        <v>438</v>
      </c>
      <c r="G82" s="13" t="s">
        <v>439</v>
      </c>
      <c r="H82" s="13" t="s">
        <v>440</v>
      </c>
      <c r="I82" s="13"/>
      <c r="J82" s="13"/>
      <c r="K82" s="20"/>
      <c r="L82" s="20" t="s">
        <v>77</v>
      </c>
      <c r="M82" s="13" t="str">
        <f aca="false">IF(AND(E82="Implemented",L82&lt;&gt;"Yes"),"Validate evidence",IF(AND(D82="Yes",E82="N/A"),"Status conflict",IF(AND(D82="No",E82&lt;&gt;"N/A"),"Status conflict","OK")))</f>
        <v>Validate evidence</v>
      </c>
    </row>
    <row r="83" customFormat="false" ht="22.35" hidden="false" customHeight="false" outlineLevel="0" collapsed="false">
      <c r="A83" s="13" t="s">
        <v>50</v>
      </c>
      <c r="B83" s="19" t="s">
        <v>441</v>
      </c>
      <c r="C83" s="13" t="s">
        <v>442</v>
      </c>
      <c r="D83" s="13" t="s">
        <v>73</v>
      </c>
      <c r="E83" s="13" t="s">
        <v>46</v>
      </c>
      <c r="F83" s="13" t="s">
        <v>443</v>
      </c>
      <c r="G83" s="13" t="s">
        <v>444</v>
      </c>
      <c r="H83" s="13" t="s">
        <v>102</v>
      </c>
      <c r="I83" s="13"/>
      <c r="J83" s="13" t="s">
        <v>445</v>
      </c>
      <c r="K83" s="20"/>
      <c r="L83" s="20" t="s">
        <v>88</v>
      </c>
      <c r="M83" s="13" t="str">
        <f aca="false">IF(AND(E83="Implemented",L83&lt;&gt;"Yes"),"Validate evidence",IF(AND(D83="Yes",E83="N/A"),"Status conflict",IF(AND(D83="No",E83&lt;&gt;"N/A"),"Status conflict","OK")))</f>
        <v>OK</v>
      </c>
    </row>
    <row r="84" customFormat="false" ht="22.35" hidden="false" customHeight="false" outlineLevel="0" collapsed="false">
      <c r="A84" s="13" t="s">
        <v>50</v>
      </c>
      <c r="B84" s="19" t="s">
        <v>446</v>
      </c>
      <c r="C84" s="13" t="s">
        <v>447</v>
      </c>
      <c r="D84" s="13" t="s">
        <v>73</v>
      </c>
      <c r="E84" s="13" t="s">
        <v>44</v>
      </c>
      <c r="F84" s="13" t="s">
        <v>448</v>
      </c>
      <c r="G84" s="13" t="s">
        <v>449</v>
      </c>
      <c r="H84" s="13" t="s">
        <v>450</v>
      </c>
      <c r="I84" s="13"/>
      <c r="J84" s="13"/>
      <c r="K84" s="20"/>
      <c r="L84" s="20" t="s">
        <v>77</v>
      </c>
      <c r="M84" s="13" t="str">
        <f aca="false">IF(AND(E84="Implemented",L84&lt;&gt;"Yes"),"Validate evidence",IF(AND(D84="Yes",E84="N/A"),"Status conflict",IF(AND(D84="No",E84&lt;&gt;"N/A"),"Status conflict","OK")))</f>
        <v>Validate evidence</v>
      </c>
    </row>
    <row r="85" customFormat="false" ht="15" hidden="false" customHeight="false" outlineLevel="0" collapsed="false">
      <c r="A85" s="13" t="s">
        <v>50</v>
      </c>
      <c r="B85" s="19" t="s">
        <v>451</v>
      </c>
      <c r="C85" s="13" t="s">
        <v>452</v>
      </c>
      <c r="D85" s="13" t="s">
        <v>73</v>
      </c>
      <c r="E85" s="13" t="s">
        <v>44</v>
      </c>
      <c r="F85" s="13" t="s">
        <v>453</v>
      </c>
      <c r="G85" s="13" t="s">
        <v>351</v>
      </c>
      <c r="H85" s="13" t="s">
        <v>454</v>
      </c>
      <c r="I85" s="13"/>
      <c r="J85" s="13"/>
      <c r="K85" s="20"/>
      <c r="L85" s="20" t="s">
        <v>77</v>
      </c>
      <c r="M85" s="13" t="str">
        <f aca="false">IF(AND(E85="Implemented",L85&lt;&gt;"Yes"),"Validate evidence",IF(AND(D85="Yes",E85="N/A"),"Status conflict",IF(AND(D85="No",E85&lt;&gt;"N/A"),"Status conflict","OK")))</f>
        <v>Validate evidence</v>
      </c>
    </row>
    <row r="86" customFormat="false" ht="22.35" hidden="false" customHeight="false" outlineLevel="0" collapsed="false">
      <c r="A86" s="13" t="s">
        <v>50</v>
      </c>
      <c r="B86" s="19" t="s">
        <v>455</v>
      </c>
      <c r="C86" s="13" t="s">
        <v>456</v>
      </c>
      <c r="D86" s="13" t="s">
        <v>73</v>
      </c>
      <c r="E86" s="13" t="s">
        <v>45</v>
      </c>
      <c r="F86" s="13" t="s">
        <v>457</v>
      </c>
      <c r="G86" s="13" t="s">
        <v>351</v>
      </c>
      <c r="H86" s="13" t="s">
        <v>458</v>
      </c>
      <c r="I86" s="13"/>
      <c r="J86" s="13"/>
      <c r="K86" s="20"/>
      <c r="L86" s="20" t="s">
        <v>88</v>
      </c>
      <c r="M86" s="13" t="str">
        <f aca="false">IF(AND(E86="Implemented",L86&lt;&gt;"Yes"),"Validate evidence",IF(AND(D86="Yes",E86="N/A"),"Status conflict",IF(AND(D86="No",E86&lt;&gt;"N/A"),"Status conflict","OK")))</f>
        <v>OK</v>
      </c>
    </row>
    <row r="87" customFormat="false" ht="22.35" hidden="false" customHeight="false" outlineLevel="0" collapsed="false">
      <c r="A87" s="13" t="s">
        <v>50</v>
      </c>
      <c r="B87" s="19" t="s">
        <v>459</v>
      </c>
      <c r="C87" s="13" t="s">
        <v>460</v>
      </c>
      <c r="D87" s="13" t="s">
        <v>73</v>
      </c>
      <c r="E87" s="13" t="s">
        <v>45</v>
      </c>
      <c r="F87" s="13" t="s">
        <v>461</v>
      </c>
      <c r="G87" s="13" t="s">
        <v>462</v>
      </c>
      <c r="H87" s="13" t="s">
        <v>112</v>
      </c>
      <c r="I87" s="13"/>
      <c r="J87" s="13"/>
      <c r="K87" s="20"/>
      <c r="L87" s="20" t="s">
        <v>88</v>
      </c>
      <c r="M87" s="13" t="str">
        <f aca="false">IF(AND(E87="Implemented",L87&lt;&gt;"Yes"),"Validate evidence",IF(AND(D87="Yes",E87="N/A"),"Status conflict",IF(AND(D87="No",E87&lt;&gt;"N/A"),"Status conflict","OK")))</f>
        <v>OK</v>
      </c>
    </row>
    <row r="88" customFormat="false" ht="22.35" hidden="false" customHeight="false" outlineLevel="0" collapsed="false">
      <c r="A88" s="13" t="s">
        <v>50</v>
      </c>
      <c r="B88" s="19" t="s">
        <v>463</v>
      </c>
      <c r="C88" s="13" t="s">
        <v>464</v>
      </c>
      <c r="D88" s="13" t="s">
        <v>73</v>
      </c>
      <c r="E88" s="13" t="s">
        <v>45</v>
      </c>
      <c r="F88" s="13" t="s">
        <v>465</v>
      </c>
      <c r="G88" s="13" t="s">
        <v>351</v>
      </c>
      <c r="H88" s="13" t="s">
        <v>466</v>
      </c>
      <c r="I88" s="13"/>
      <c r="J88" s="13"/>
      <c r="K88" s="20"/>
      <c r="L88" s="20" t="s">
        <v>88</v>
      </c>
      <c r="M88" s="13" t="str">
        <f aca="false">IF(AND(E88="Implemented",L88&lt;&gt;"Yes"),"Validate evidence",IF(AND(D88="Yes",E88="N/A"),"Status conflict",IF(AND(D88="No",E88&lt;&gt;"N/A"),"Status conflict","OK")))</f>
        <v>OK</v>
      </c>
    </row>
    <row r="89" customFormat="false" ht="22.35" hidden="false" customHeight="false" outlineLevel="0" collapsed="false">
      <c r="A89" s="13" t="s">
        <v>50</v>
      </c>
      <c r="B89" s="19" t="s">
        <v>467</v>
      </c>
      <c r="C89" s="13" t="s">
        <v>468</v>
      </c>
      <c r="D89" s="13" t="s">
        <v>73</v>
      </c>
      <c r="E89" s="13" t="s">
        <v>45</v>
      </c>
      <c r="F89" s="13" t="s">
        <v>469</v>
      </c>
      <c r="G89" s="13" t="s">
        <v>470</v>
      </c>
      <c r="H89" s="13" t="s">
        <v>466</v>
      </c>
      <c r="I89" s="13"/>
      <c r="J89" s="13"/>
      <c r="K89" s="20"/>
      <c r="L89" s="20" t="s">
        <v>88</v>
      </c>
      <c r="M89" s="13" t="str">
        <f aca="false">IF(AND(E89="Implemented",L89&lt;&gt;"Yes"),"Validate evidence",IF(AND(D89="Yes",E89="N/A"),"Status conflict",IF(AND(D89="No",E89&lt;&gt;"N/A"),"Status conflict","OK")))</f>
        <v>OK</v>
      </c>
    </row>
    <row r="90" customFormat="false" ht="22.35" hidden="false" customHeight="false" outlineLevel="0" collapsed="false">
      <c r="A90" s="13" t="s">
        <v>50</v>
      </c>
      <c r="B90" s="19" t="s">
        <v>471</v>
      </c>
      <c r="C90" s="13" t="s">
        <v>472</v>
      </c>
      <c r="D90" s="13" t="s">
        <v>285</v>
      </c>
      <c r="E90" s="13" t="s">
        <v>286</v>
      </c>
      <c r="F90" s="13" t="s">
        <v>473</v>
      </c>
      <c r="G90" s="13" t="s">
        <v>288</v>
      </c>
      <c r="H90" s="13"/>
      <c r="I90" s="13" t="s">
        <v>474</v>
      </c>
      <c r="J90" s="13"/>
      <c r="K90" s="20"/>
      <c r="L90" s="20" t="s">
        <v>88</v>
      </c>
      <c r="M90" s="13" t="str">
        <f aca="false">IF(AND(E90="Implemented",L90&lt;&gt;"Yes"),"Validate evidence",IF(AND(D90="Yes",E90="N/A"),"Status conflict",IF(AND(D90="No",E90&lt;&gt;"N/A"),"Status conflict","OK")))</f>
        <v>OK</v>
      </c>
    </row>
    <row r="91" customFormat="false" ht="22.35" hidden="false" customHeight="false" outlineLevel="0" collapsed="false">
      <c r="A91" s="13" t="s">
        <v>50</v>
      </c>
      <c r="B91" s="19" t="s">
        <v>475</v>
      </c>
      <c r="C91" s="13" t="s">
        <v>476</v>
      </c>
      <c r="D91" s="13" t="s">
        <v>73</v>
      </c>
      <c r="E91" s="13" t="s">
        <v>44</v>
      </c>
      <c r="F91" s="13" t="s">
        <v>477</v>
      </c>
      <c r="G91" s="13" t="s">
        <v>478</v>
      </c>
      <c r="H91" s="13" t="s">
        <v>76</v>
      </c>
      <c r="I91" s="13"/>
      <c r="J91" s="13"/>
      <c r="K91" s="20"/>
      <c r="L91" s="20" t="s">
        <v>77</v>
      </c>
      <c r="M91" s="13" t="str">
        <f aca="false">IF(AND(E91="Implemented",L91&lt;&gt;"Yes"),"Validate evidence",IF(AND(D91="Yes",E91="N/A"),"Status conflict",IF(AND(D91="No",E91&lt;&gt;"N/A"),"Status conflict","OK")))</f>
        <v>Validate evidence</v>
      </c>
    </row>
    <row r="92" customFormat="false" ht="22.35" hidden="false" customHeight="false" outlineLevel="0" collapsed="false">
      <c r="A92" s="13" t="s">
        <v>50</v>
      </c>
      <c r="B92" s="19" t="s">
        <v>479</v>
      </c>
      <c r="C92" s="13" t="s">
        <v>480</v>
      </c>
      <c r="D92" s="13" t="s">
        <v>73</v>
      </c>
      <c r="E92" s="13" t="s">
        <v>44</v>
      </c>
      <c r="F92" s="13" t="s">
        <v>481</v>
      </c>
      <c r="G92" s="13" t="s">
        <v>482</v>
      </c>
      <c r="H92" s="13" t="s">
        <v>194</v>
      </c>
      <c r="I92" s="13"/>
      <c r="J92" s="13"/>
      <c r="K92" s="20"/>
      <c r="L92" s="20" t="s">
        <v>77</v>
      </c>
      <c r="M92" s="13" t="str">
        <f aca="false">IF(AND(E92="Implemented",L92&lt;&gt;"Yes"),"Validate evidence",IF(AND(D92="Yes",E92="N/A"),"Status conflict",IF(AND(D92="No",E92&lt;&gt;"N/A"),"Status conflict","OK")))</f>
        <v>Validate evidence</v>
      </c>
    </row>
    <row r="93" customFormat="false" ht="22.35" hidden="false" customHeight="false" outlineLevel="0" collapsed="false">
      <c r="A93" s="13" t="s">
        <v>50</v>
      </c>
      <c r="B93" s="19" t="s">
        <v>483</v>
      </c>
      <c r="C93" s="13" t="s">
        <v>484</v>
      </c>
      <c r="D93" s="13" t="s">
        <v>73</v>
      </c>
      <c r="E93" s="13" t="s">
        <v>46</v>
      </c>
      <c r="F93" s="13" t="s">
        <v>485</v>
      </c>
      <c r="G93" s="13" t="s">
        <v>386</v>
      </c>
      <c r="H93" s="13" t="s">
        <v>141</v>
      </c>
      <c r="I93" s="13"/>
      <c r="J93" s="13" t="s">
        <v>486</v>
      </c>
      <c r="K93" s="20"/>
      <c r="L93" s="20" t="s">
        <v>88</v>
      </c>
      <c r="M93" s="13" t="str">
        <f aca="false">IF(AND(E93="Implemented",L93&lt;&gt;"Yes"),"Validate evidence",IF(AND(D93="Yes",E93="N/A"),"Status conflict",IF(AND(D93="No",E93&lt;&gt;"N/A"),"Status conflict","OK")))</f>
        <v>OK</v>
      </c>
    </row>
    <row r="94" customFormat="false" ht="22.35" hidden="false" customHeight="false" outlineLevel="0" collapsed="false">
      <c r="A94" s="13" t="s">
        <v>50</v>
      </c>
      <c r="B94" s="19" t="s">
        <v>487</v>
      </c>
      <c r="C94" s="13" t="s">
        <v>488</v>
      </c>
      <c r="D94" s="13" t="s">
        <v>73</v>
      </c>
      <c r="E94" s="13" t="s">
        <v>46</v>
      </c>
      <c r="F94" s="13" t="s">
        <v>489</v>
      </c>
      <c r="G94" s="13" t="s">
        <v>490</v>
      </c>
      <c r="H94" s="13" t="s">
        <v>189</v>
      </c>
      <c r="I94" s="13"/>
      <c r="J94" s="13" t="s">
        <v>491</v>
      </c>
      <c r="K94" s="20"/>
      <c r="L94" s="20" t="s">
        <v>88</v>
      </c>
      <c r="M94" s="13" t="str">
        <f aca="false">IF(AND(E94="Implemented",L94&lt;&gt;"Yes"),"Validate evidence",IF(AND(D94="Yes",E94="N/A"),"Status conflict",IF(AND(D94="No",E94&lt;&gt;"N/A"),"Status conflict","OK")))</f>
        <v>OK</v>
      </c>
    </row>
  </sheetData>
  <autoFilter ref="A1:M94"/>
  <conditionalFormatting sqref="E2:E94">
    <cfRule type="cellIs" priority="2" operator="equal" aboveAverage="0" equalAverage="0" bottom="0" percent="0" rank="0" text="" dxfId="9">
      <formula>"Implemented"</formula>
    </cfRule>
    <cfRule type="cellIs" priority="3" operator="equal" aboveAverage="0" equalAverage="0" bottom="0" percent="0" rank="0" text="" dxfId="10">
      <formula>"Partial"</formula>
    </cfRule>
    <cfRule type="cellIs" priority="4" operator="equal" aboveAverage="0" equalAverage="0" bottom="0" percent="0" rank="0" text="" dxfId="11">
      <formula>"Planned"</formula>
    </cfRule>
    <cfRule type="cellIs" priority="5" operator="equal" aboveAverage="0" equalAverage="0" bottom="0" percent="0" rank="0" text="" dxfId="12">
      <formula>"N/A"</formula>
    </cfRule>
  </conditionalFormatting>
  <conditionalFormatting sqref="M2:M94">
    <cfRule type="expression" priority="6" aboveAverage="0" equalAverage="0" bottom="0" percent="0" rank="0" text="" dxfId="13">
      <formula>AND(M2&lt;&gt;"OK")</formula>
    </cfRule>
  </conditionalFormatting>
  <dataValidations count="3">
    <dataValidation allowBlank="false" errorStyle="stop" operator="between" showDropDown="false" showErrorMessage="false" showInputMessage="false" sqref="D2:D94" type="list">
      <formula1>"Yes,No"</formula1>
      <formula2>0</formula2>
    </dataValidation>
    <dataValidation allowBlank="false" errorStyle="stop" operator="between" showDropDown="false" showErrorMessage="false" showInputMessage="false" sqref="E2:E94" type="list">
      <formula1>"Implemented,Partial,Planned,N/A"</formula1>
      <formula2>0</formula2>
    </dataValidation>
    <dataValidation allowBlank="false" errorStyle="stop" operator="between" showDropDown="false" showErrorMessage="false" showInputMessage="false" sqref="L2:L94" type="list">
      <formula1>"Yes,No,Pending,n/a"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45"/>
    <col collapsed="false" customWidth="true" hidden="false" outlineLevel="0" max="5" min="5" style="0" width="42"/>
    <col collapsed="false" customWidth="true" hidden="false" outlineLevel="0" max="6" min="6" style="0" width="45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0" t="s">
        <v>492</v>
      </c>
    </row>
    <row r="2" customFormat="false" ht="15" hidden="false" customHeight="false" outlineLevel="0" collapsed="false">
      <c r="A2" s="11" t="s">
        <v>493</v>
      </c>
    </row>
    <row r="4" customFormat="false" ht="15" hidden="false" customHeight="false" outlineLevel="0" collapsed="false">
      <c r="A4" s="12" t="s">
        <v>60</v>
      </c>
      <c r="B4" s="12" t="s">
        <v>61</v>
      </c>
      <c r="C4" s="12" t="s">
        <v>494</v>
      </c>
      <c r="D4" s="12" t="s">
        <v>495</v>
      </c>
      <c r="E4" s="12" t="s">
        <v>496</v>
      </c>
      <c r="F4" s="12" t="s">
        <v>497</v>
      </c>
      <c r="G4" s="12" t="s">
        <v>498</v>
      </c>
    </row>
    <row r="5" customFormat="false" ht="15" hidden="false" customHeight="false" outlineLevel="0" collapsed="false">
      <c r="A5" s="13" t="s">
        <v>283</v>
      </c>
      <c r="B5" s="13" t="s">
        <v>284</v>
      </c>
      <c r="C5" s="13" t="s">
        <v>289</v>
      </c>
      <c r="D5" s="13" t="s">
        <v>499</v>
      </c>
      <c r="E5" s="13" t="s">
        <v>500</v>
      </c>
      <c r="F5" s="13" t="s">
        <v>501</v>
      </c>
      <c r="G5" s="13" t="s">
        <v>288</v>
      </c>
    </row>
    <row r="6" customFormat="false" ht="15" hidden="false" customHeight="false" outlineLevel="0" collapsed="false">
      <c r="A6" s="13" t="s">
        <v>290</v>
      </c>
      <c r="B6" s="13" t="s">
        <v>291</v>
      </c>
      <c r="C6" s="13" t="s">
        <v>289</v>
      </c>
      <c r="D6" s="13" t="s">
        <v>502</v>
      </c>
      <c r="E6" s="13" t="s">
        <v>503</v>
      </c>
      <c r="F6" s="13" t="s">
        <v>504</v>
      </c>
      <c r="G6" s="13" t="s">
        <v>288</v>
      </c>
    </row>
    <row r="7" customFormat="false" ht="22.35" hidden="false" customHeight="false" outlineLevel="0" collapsed="false">
      <c r="A7" s="13" t="s">
        <v>293</v>
      </c>
      <c r="B7" s="13" t="s">
        <v>294</v>
      </c>
      <c r="C7" s="13" t="s">
        <v>289</v>
      </c>
      <c r="D7" s="13" t="s">
        <v>505</v>
      </c>
      <c r="E7" s="13" t="s">
        <v>506</v>
      </c>
      <c r="F7" s="13" t="s">
        <v>507</v>
      </c>
      <c r="G7" s="13" t="s">
        <v>288</v>
      </c>
    </row>
    <row r="8" customFormat="false" ht="22.35" hidden="false" customHeight="false" outlineLevel="0" collapsed="false">
      <c r="A8" s="13" t="s">
        <v>296</v>
      </c>
      <c r="B8" s="13" t="s">
        <v>297</v>
      </c>
      <c r="C8" s="13" t="s">
        <v>300</v>
      </c>
      <c r="D8" s="13" t="s">
        <v>508</v>
      </c>
      <c r="E8" s="13" t="s">
        <v>509</v>
      </c>
      <c r="F8" s="13" t="s">
        <v>510</v>
      </c>
      <c r="G8" s="13" t="s">
        <v>299</v>
      </c>
    </row>
    <row r="9" customFormat="false" ht="22.35" hidden="false" customHeight="false" outlineLevel="0" collapsed="false">
      <c r="A9" s="13" t="s">
        <v>301</v>
      </c>
      <c r="B9" s="13" t="s">
        <v>302</v>
      </c>
      <c r="C9" s="13" t="s">
        <v>300</v>
      </c>
      <c r="D9" s="13" t="s">
        <v>511</v>
      </c>
      <c r="E9" s="13" t="s">
        <v>512</v>
      </c>
      <c r="F9" s="13" t="s">
        <v>513</v>
      </c>
      <c r="G9" s="13" t="s">
        <v>299</v>
      </c>
    </row>
    <row r="10" customFormat="false" ht="15" hidden="false" customHeight="false" outlineLevel="0" collapsed="false">
      <c r="A10" s="13" t="s">
        <v>304</v>
      </c>
      <c r="B10" s="13" t="s">
        <v>305</v>
      </c>
      <c r="C10" s="13" t="s">
        <v>289</v>
      </c>
      <c r="D10" s="13" t="s">
        <v>514</v>
      </c>
      <c r="E10" s="13" t="s">
        <v>515</v>
      </c>
      <c r="F10" s="13" t="s">
        <v>516</v>
      </c>
      <c r="G10" s="13" t="s">
        <v>288</v>
      </c>
    </row>
    <row r="11" customFormat="false" ht="15" hidden="false" customHeight="false" outlineLevel="0" collapsed="false">
      <c r="A11" s="13" t="s">
        <v>310</v>
      </c>
      <c r="B11" s="13" t="s">
        <v>311</v>
      </c>
      <c r="C11" s="13" t="s">
        <v>314</v>
      </c>
      <c r="D11" s="13" t="s">
        <v>517</v>
      </c>
      <c r="E11" s="13" t="s">
        <v>518</v>
      </c>
      <c r="F11" s="13" t="s">
        <v>519</v>
      </c>
      <c r="G11" s="13" t="s">
        <v>288</v>
      </c>
    </row>
    <row r="12" customFormat="false" ht="22.35" hidden="false" customHeight="false" outlineLevel="0" collapsed="false">
      <c r="A12" s="13" t="s">
        <v>322</v>
      </c>
      <c r="B12" s="13" t="s">
        <v>323</v>
      </c>
      <c r="C12" s="13" t="s">
        <v>300</v>
      </c>
      <c r="D12" s="13" t="s">
        <v>520</v>
      </c>
      <c r="E12" s="13" t="s">
        <v>521</v>
      </c>
      <c r="F12" s="13" t="s">
        <v>522</v>
      </c>
      <c r="G12" s="13" t="s">
        <v>299</v>
      </c>
    </row>
    <row r="13" customFormat="false" ht="22.35" hidden="false" customHeight="false" outlineLevel="0" collapsed="false">
      <c r="A13" s="13" t="s">
        <v>325</v>
      </c>
      <c r="B13" s="13" t="s">
        <v>326</v>
      </c>
      <c r="C13" s="13" t="s">
        <v>314</v>
      </c>
      <c r="D13" s="13" t="s">
        <v>523</v>
      </c>
      <c r="E13" s="13" t="s">
        <v>524</v>
      </c>
      <c r="F13" s="13" t="s">
        <v>525</v>
      </c>
      <c r="G13" s="13" t="s">
        <v>288</v>
      </c>
    </row>
    <row r="14" customFormat="false" ht="15" hidden="false" customHeight="false" outlineLevel="0" collapsed="false">
      <c r="A14" s="13" t="s">
        <v>471</v>
      </c>
      <c r="B14" s="13" t="s">
        <v>472</v>
      </c>
      <c r="C14" s="13" t="s">
        <v>474</v>
      </c>
      <c r="D14" s="13" t="s">
        <v>526</v>
      </c>
      <c r="E14" s="13" t="s">
        <v>527</v>
      </c>
      <c r="F14" s="13" t="s">
        <v>528</v>
      </c>
      <c r="G14" s="13" t="s">
        <v>288</v>
      </c>
    </row>
    <row r="16" customFormat="false" ht="15" hidden="false" customHeight="false" outlineLevel="0" collapsed="false">
      <c r="A16" s="17" t="s">
        <v>529</v>
      </c>
      <c r="D16" s="17" t="n">
        <f aca="false">COUNTA(A5:A14)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0" t="s">
        <v>23</v>
      </c>
    </row>
    <row r="2" customFormat="false" ht="15" hidden="false" customHeight="false" outlineLevel="0" collapsed="false">
      <c r="A2" s="11" t="s">
        <v>530</v>
      </c>
    </row>
    <row r="4" customFormat="false" ht="23.85" hidden="false" customHeight="false" outlineLevel="0" collapsed="false">
      <c r="A4" s="12" t="s">
        <v>531</v>
      </c>
      <c r="B4" s="12" t="s">
        <v>532</v>
      </c>
      <c r="C4" s="12" t="s">
        <v>533</v>
      </c>
      <c r="D4" s="12" t="s">
        <v>534</v>
      </c>
      <c r="E4" s="12" t="s">
        <v>535</v>
      </c>
      <c r="F4" s="12" t="s">
        <v>536</v>
      </c>
      <c r="G4" s="12" t="s">
        <v>537</v>
      </c>
      <c r="H4" s="12" t="s">
        <v>538</v>
      </c>
      <c r="I4" s="12" t="s">
        <v>539</v>
      </c>
      <c r="J4" s="12" t="s">
        <v>540</v>
      </c>
    </row>
    <row r="5" customFormat="false" ht="15" hidden="false" customHeight="false" outlineLevel="0" collapsed="false">
      <c r="A5" s="13" t="s">
        <v>416</v>
      </c>
      <c r="B5" s="13" t="s">
        <v>541</v>
      </c>
      <c r="C5" s="13" t="s">
        <v>542</v>
      </c>
      <c r="D5" s="13" t="s">
        <v>543</v>
      </c>
      <c r="E5" s="13" t="s">
        <v>543</v>
      </c>
      <c r="F5" s="13" t="s">
        <v>542</v>
      </c>
      <c r="G5" s="13" t="s">
        <v>544</v>
      </c>
      <c r="H5" s="13" t="s">
        <v>545</v>
      </c>
      <c r="I5" s="13" t="s">
        <v>546</v>
      </c>
      <c r="J5" s="13" t="n">
        <f aca="false">COUNTIF(Traceability!E$5:E$97,"●")</f>
        <v>26</v>
      </c>
    </row>
    <row r="6" customFormat="false" ht="15" hidden="false" customHeight="false" outlineLevel="0" collapsed="false">
      <c r="A6" s="13" t="s">
        <v>117</v>
      </c>
      <c r="B6" s="13" t="s">
        <v>547</v>
      </c>
      <c r="C6" s="13" t="s">
        <v>542</v>
      </c>
      <c r="D6" s="13" t="s">
        <v>542</v>
      </c>
      <c r="E6" s="13" t="s">
        <v>542</v>
      </c>
      <c r="F6" s="13" t="s">
        <v>548</v>
      </c>
      <c r="G6" s="13" t="s">
        <v>544</v>
      </c>
      <c r="H6" s="13" t="s">
        <v>549</v>
      </c>
      <c r="I6" s="13" t="s">
        <v>546</v>
      </c>
      <c r="J6" s="13" t="n">
        <f aca="false">COUNTIF(Traceability!F$5:F$97,"●")</f>
        <v>13</v>
      </c>
    </row>
    <row r="7" customFormat="false" ht="15" hidden="false" customHeight="false" outlineLevel="0" collapsed="false">
      <c r="A7" s="13" t="s">
        <v>194</v>
      </c>
      <c r="B7" s="13" t="s">
        <v>550</v>
      </c>
      <c r="C7" s="13" t="s">
        <v>543</v>
      </c>
      <c r="D7" s="13" t="s">
        <v>543</v>
      </c>
      <c r="E7" s="13" t="s">
        <v>551</v>
      </c>
      <c r="F7" s="13" t="s">
        <v>542</v>
      </c>
      <c r="G7" s="13" t="s">
        <v>552</v>
      </c>
      <c r="H7" s="13" t="s">
        <v>553</v>
      </c>
      <c r="I7" s="13" t="s">
        <v>546</v>
      </c>
      <c r="J7" s="13" t="n">
        <f aca="false">COUNTIF(Traceability!G$5:G$97,"●")</f>
        <v>23</v>
      </c>
    </row>
    <row r="8" customFormat="false" ht="15" hidden="false" customHeight="false" outlineLevel="0" collapsed="false">
      <c r="A8" s="13" t="s">
        <v>206</v>
      </c>
      <c r="B8" s="13" t="s">
        <v>554</v>
      </c>
      <c r="C8" s="13" t="s">
        <v>548</v>
      </c>
      <c r="D8" s="13" t="s">
        <v>543</v>
      </c>
      <c r="E8" s="13" t="s">
        <v>542</v>
      </c>
      <c r="F8" s="13" t="s">
        <v>548</v>
      </c>
      <c r="G8" s="13" t="s">
        <v>544</v>
      </c>
      <c r="H8" s="13" t="s">
        <v>555</v>
      </c>
      <c r="I8" s="13" t="s">
        <v>546</v>
      </c>
      <c r="J8" s="13" t="n">
        <f aca="false">COUNTIF(Traceability!H$5:H$97,"●")</f>
        <v>24</v>
      </c>
    </row>
    <row r="9" customFormat="false" ht="15" hidden="false" customHeight="false" outlineLevel="0" collapsed="false">
      <c r="A9" s="13" t="s">
        <v>178</v>
      </c>
      <c r="B9" s="13" t="s">
        <v>556</v>
      </c>
      <c r="C9" s="13" t="s">
        <v>548</v>
      </c>
      <c r="D9" s="13" t="s">
        <v>551</v>
      </c>
      <c r="E9" s="13" t="s">
        <v>543</v>
      </c>
      <c r="F9" s="13" t="s">
        <v>542</v>
      </c>
      <c r="G9" s="13" t="s">
        <v>557</v>
      </c>
      <c r="H9" s="13" t="s">
        <v>545</v>
      </c>
      <c r="I9" s="13" t="s">
        <v>546</v>
      </c>
      <c r="J9" s="13" t="n">
        <f aca="false">COUNTIF(Traceability!I$5:I$97,"●")</f>
        <v>10</v>
      </c>
    </row>
    <row r="10" customFormat="false" ht="15" hidden="false" customHeight="false" outlineLevel="0" collapsed="false">
      <c r="A10" s="13" t="s">
        <v>189</v>
      </c>
      <c r="B10" s="13" t="s">
        <v>558</v>
      </c>
      <c r="C10" s="13" t="s">
        <v>548</v>
      </c>
      <c r="D10" s="13" t="s">
        <v>543</v>
      </c>
      <c r="E10" s="13" t="s">
        <v>542</v>
      </c>
      <c r="F10" s="13" t="s">
        <v>548</v>
      </c>
      <c r="G10" s="13" t="s">
        <v>544</v>
      </c>
      <c r="H10" s="13" t="s">
        <v>559</v>
      </c>
      <c r="I10" s="13" t="s">
        <v>546</v>
      </c>
      <c r="J10" s="13" t="n">
        <f aca="false">COUNTIF(Traceability!J$5:J$97,"●")</f>
        <v>10</v>
      </c>
    </row>
    <row r="11" customFormat="false" ht="15" hidden="false" customHeight="false" outlineLevel="0" collapsed="false">
      <c r="A11" s="13" t="s">
        <v>102</v>
      </c>
      <c r="B11" s="13" t="s">
        <v>560</v>
      </c>
      <c r="C11" s="13" t="s">
        <v>543</v>
      </c>
      <c r="D11" s="13" t="s">
        <v>542</v>
      </c>
      <c r="E11" s="13" t="s">
        <v>543</v>
      </c>
      <c r="F11" s="13" t="s">
        <v>542</v>
      </c>
      <c r="G11" s="13" t="s">
        <v>544</v>
      </c>
      <c r="H11" s="13" t="s">
        <v>549</v>
      </c>
      <c r="I11" s="13" t="s">
        <v>561</v>
      </c>
      <c r="J11" s="13" t="n">
        <f aca="false">COUNTIF(Traceability!K$5:K$97,"●")</f>
        <v>14</v>
      </c>
    </row>
    <row r="12" customFormat="false" ht="15" hidden="false" customHeight="false" outlineLevel="0" collapsed="false">
      <c r="A12" s="13" t="s">
        <v>562</v>
      </c>
      <c r="B12" s="13" t="s">
        <v>563</v>
      </c>
      <c r="C12" s="13" t="s">
        <v>548</v>
      </c>
      <c r="D12" s="13" t="s">
        <v>551</v>
      </c>
      <c r="E12" s="13" t="s">
        <v>543</v>
      </c>
      <c r="F12" s="13" t="s">
        <v>542</v>
      </c>
      <c r="G12" s="13" t="s">
        <v>544</v>
      </c>
      <c r="H12" s="13" t="s">
        <v>553</v>
      </c>
      <c r="I12" s="13" t="s">
        <v>561</v>
      </c>
      <c r="J12" s="13" t="n">
        <f aca="false">COUNTIF(Traceability!L$5:L$97,"●")</f>
        <v>8</v>
      </c>
    </row>
    <row r="13" customFormat="false" ht="15" hidden="false" customHeight="false" outlineLevel="0" collapsed="false">
      <c r="A13" s="13" t="s">
        <v>226</v>
      </c>
      <c r="B13" s="13" t="s">
        <v>564</v>
      </c>
      <c r="C13" s="13" t="s">
        <v>542</v>
      </c>
      <c r="D13" s="13" t="s">
        <v>543</v>
      </c>
      <c r="E13" s="13" t="s">
        <v>543</v>
      </c>
      <c r="F13" s="13" t="s">
        <v>542</v>
      </c>
      <c r="G13" s="13" t="s">
        <v>544</v>
      </c>
      <c r="H13" s="13" t="s">
        <v>545</v>
      </c>
      <c r="I13" s="13" t="s">
        <v>561</v>
      </c>
      <c r="J13" s="13" t="n">
        <f aca="false">COUNTIF(Traceability!M$5:M$97,"●")</f>
        <v>10</v>
      </c>
    </row>
    <row r="14" customFormat="false" ht="15" hidden="false" customHeight="false" outlineLevel="0" collapsed="false">
      <c r="A14" s="13" t="s">
        <v>565</v>
      </c>
      <c r="B14" s="13" t="s">
        <v>566</v>
      </c>
      <c r="C14" s="13" t="s">
        <v>542</v>
      </c>
      <c r="D14" s="13" t="s">
        <v>543</v>
      </c>
      <c r="E14" s="13" t="s">
        <v>543</v>
      </c>
      <c r="F14" s="13" t="s">
        <v>548</v>
      </c>
      <c r="G14" s="13" t="s">
        <v>544</v>
      </c>
      <c r="H14" s="13" t="s">
        <v>545</v>
      </c>
      <c r="I14" s="13" t="s">
        <v>561</v>
      </c>
      <c r="J14" s="13" t="n">
        <f aca="false">COUNTIF(Traceability!N$5:N$97,"●")</f>
        <v>6</v>
      </c>
    </row>
    <row r="15" customFormat="false" ht="22.35" hidden="false" customHeight="false" outlineLevel="0" collapsed="false">
      <c r="A15" s="13" t="s">
        <v>98</v>
      </c>
      <c r="B15" s="13" t="s">
        <v>567</v>
      </c>
      <c r="C15" s="13" t="s">
        <v>542</v>
      </c>
      <c r="D15" s="13" t="s">
        <v>543</v>
      </c>
      <c r="E15" s="13" t="s">
        <v>543</v>
      </c>
      <c r="F15" s="13" t="s">
        <v>542</v>
      </c>
      <c r="G15" s="13" t="s">
        <v>557</v>
      </c>
      <c r="H15" s="13" t="s">
        <v>568</v>
      </c>
      <c r="I15" s="13" t="s">
        <v>561</v>
      </c>
      <c r="J15" s="13" t="n">
        <f aca="false">COUNTIF(Traceability!O$5:O$97,"●")</f>
        <v>13</v>
      </c>
    </row>
    <row r="16" customFormat="false" ht="15" hidden="false" customHeight="false" outlineLevel="0" collapsed="false">
      <c r="A16" s="13" t="s">
        <v>569</v>
      </c>
      <c r="B16" s="13" t="s">
        <v>570</v>
      </c>
      <c r="C16" s="13" t="s">
        <v>542</v>
      </c>
      <c r="D16" s="13" t="s">
        <v>542</v>
      </c>
      <c r="E16" s="13" t="s">
        <v>542</v>
      </c>
      <c r="F16" s="13" t="s">
        <v>548</v>
      </c>
      <c r="G16" s="13" t="s">
        <v>544</v>
      </c>
      <c r="H16" s="13" t="s">
        <v>568</v>
      </c>
      <c r="I16" s="13" t="s">
        <v>561</v>
      </c>
      <c r="J16" s="13" t="n">
        <f aca="false">COUNTIF(Traceability!P$5:P$97,"●")</f>
        <v>6</v>
      </c>
    </row>
    <row r="17" customFormat="false" ht="15" hidden="false" customHeight="false" outlineLevel="0" collapsed="false">
      <c r="A17" s="13" t="s">
        <v>571</v>
      </c>
      <c r="B17" s="13" t="s">
        <v>572</v>
      </c>
      <c r="C17" s="13" t="s">
        <v>542</v>
      </c>
      <c r="D17" s="13" t="s">
        <v>543</v>
      </c>
      <c r="E17" s="13" t="s">
        <v>543</v>
      </c>
      <c r="F17" s="13" t="s">
        <v>542</v>
      </c>
      <c r="G17" s="13" t="s">
        <v>544</v>
      </c>
      <c r="H17" s="13" t="s">
        <v>545</v>
      </c>
      <c r="I17" s="13" t="s">
        <v>561</v>
      </c>
      <c r="J17" s="13" t="n">
        <f aca="false">COUNTIF(Traceability!Q$5:Q$97,"●")</f>
        <v>11</v>
      </c>
    </row>
    <row r="19" customFormat="false" ht="15" hidden="false" customHeight="false" outlineLevel="0" collapsed="false">
      <c r="A19" s="11" t="s">
        <v>573</v>
      </c>
    </row>
  </sheetData>
  <conditionalFormatting sqref="E5:E17">
    <cfRule type="cellIs" priority="2" operator="equal" aboveAverage="0" equalAverage="0" bottom="0" percent="0" rank="0" text="" dxfId="14">
      <formula>"Critical"</formula>
    </cfRule>
    <cfRule type="cellIs" priority="3" operator="equal" aboveAverage="0" equalAverage="0" bottom="0" percent="0" rank="0" text="" dxfId="15">
      <formula>"High"</formula>
    </cfRule>
    <cfRule type="cellIs" priority="4" operator="equal" aboveAverage="0" equalAverage="0" bottom="0" percent="0" rank="0" text="" dxfId="16">
      <formula>"Medium"</formula>
    </cfRule>
    <cfRule type="cellIs" priority="5" operator="equal" aboveAverage="0" equalAverage="0" bottom="0" percent="0" rank="0" text="" dxfId="17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7" min="5" style="0" width="7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0" t="s">
        <v>574</v>
      </c>
    </row>
    <row r="2" customFormat="false" ht="15" hidden="false" customHeight="false" outlineLevel="0" collapsed="false">
      <c r="A2" s="11" t="s">
        <v>575</v>
      </c>
    </row>
    <row r="3" customFormat="false" ht="15" hidden="false" customHeight="false" outlineLevel="0" collapsed="false">
      <c r="A3" s="17" t="s">
        <v>576</v>
      </c>
      <c r="E3" s="17" t="n">
        <f aca="false">COUNTIF(E5:E97,"●")</f>
        <v>26</v>
      </c>
      <c r="F3" s="17" t="n">
        <f aca="false">COUNTIF(F5:F97,"●")</f>
        <v>13</v>
      </c>
      <c r="G3" s="17" t="n">
        <f aca="false">COUNTIF(G5:G97,"●")</f>
        <v>23</v>
      </c>
      <c r="H3" s="17" t="n">
        <f aca="false">COUNTIF(H5:H97,"●")</f>
        <v>24</v>
      </c>
      <c r="I3" s="17" t="n">
        <f aca="false">COUNTIF(I5:I97,"●")</f>
        <v>10</v>
      </c>
      <c r="J3" s="17" t="n">
        <f aca="false">COUNTIF(J5:J97,"●")</f>
        <v>10</v>
      </c>
      <c r="K3" s="17" t="n">
        <f aca="false">COUNTIF(K5:K97,"●")</f>
        <v>14</v>
      </c>
      <c r="L3" s="17" t="n">
        <f aca="false">COUNTIF(L5:L97,"●")</f>
        <v>8</v>
      </c>
      <c r="M3" s="17" t="n">
        <f aca="false">COUNTIF(M5:M97,"●")</f>
        <v>10</v>
      </c>
      <c r="N3" s="17" t="n">
        <f aca="false">COUNTIF(N5:N97,"●")</f>
        <v>6</v>
      </c>
      <c r="O3" s="17" t="n">
        <f aca="false">COUNTIF(O5:O97,"●")</f>
        <v>13</v>
      </c>
      <c r="P3" s="17" t="n">
        <f aca="false">COUNTIF(P5:P97,"●")</f>
        <v>6</v>
      </c>
      <c r="Q3" s="17" t="n">
        <f aca="false">COUNTIF(Q5:Q97,"●")</f>
        <v>11</v>
      </c>
    </row>
    <row r="4" customFormat="false" ht="23.85" hidden="false" customHeight="false" outlineLevel="0" collapsed="false">
      <c r="A4" s="12" t="s">
        <v>60</v>
      </c>
      <c r="B4" s="12" t="s">
        <v>61</v>
      </c>
      <c r="C4" s="12" t="s">
        <v>42</v>
      </c>
      <c r="D4" s="12" t="s">
        <v>62</v>
      </c>
      <c r="E4" s="12" t="s">
        <v>416</v>
      </c>
      <c r="F4" s="12" t="s">
        <v>117</v>
      </c>
      <c r="G4" s="12" t="s">
        <v>194</v>
      </c>
      <c r="H4" s="12" t="s">
        <v>206</v>
      </c>
      <c r="I4" s="12" t="s">
        <v>178</v>
      </c>
      <c r="J4" s="12" t="s">
        <v>189</v>
      </c>
      <c r="K4" s="12" t="s">
        <v>102</v>
      </c>
      <c r="L4" s="12" t="s">
        <v>562</v>
      </c>
      <c r="M4" s="12" t="s">
        <v>226</v>
      </c>
      <c r="N4" s="12" t="s">
        <v>565</v>
      </c>
      <c r="O4" s="12" t="s">
        <v>98</v>
      </c>
      <c r="P4" s="12" t="s">
        <v>569</v>
      </c>
      <c r="Q4" s="12" t="s">
        <v>571</v>
      </c>
      <c r="R4" s="12" t="s">
        <v>577</v>
      </c>
    </row>
    <row r="5" customFormat="false" ht="15" hidden="false" customHeight="false" outlineLevel="0" collapsed="false">
      <c r="A5" s="13" t="s">
        <v>71</v>
      </c>
      <c r="B5" s="13" t="s">
        <v>72</v>
      </c>
      <c r="C5" s="13" t="str">
        <f aca="false">SoA!D2</f>
        <v>Yes</v>
      </c>
      <c r="D5" s="13" t="str">
        <f aca="false">SoA!E2</f>
        <v>Implemented</v>
      </c>
      <c r="E5" s="21" t="s">
        <v>578</v>
      </c>
      <c r="F5" s="21"/>
      <c r="G5" s="21" t="s">
        <v>578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2" t="n">
        <f aca="false">COUNTIF(E5:Q5,"●")</f>
        <v>2</v>
      </c>
    </row>
    <row r="6" customFormat="false" ht="15" hidden="false" customHeight="false" outlineLevel="0" collapsed="false">
      <c r="A6" s="13" t="s">
        <v>78</v>
      </c>
      <c r="B6" s="13" t="s">
        <v>79</v>
      </c>
      <c r="C6" s="13" t="str">
        <f aca="false">SoA!D3</f>
        <v>Yes</v>
      </c>
      <c r="D6" s="13" t="str">
        <f aca="false">SoA!E3</f>
        <v>Implemented</v>
      </c>
      <c r="E6" s="21"/>
      <c r="F6" s="21"/>
      <c r="G6" s="21" t="s">
        <v>578</v>
      </c>
      <c r="H6" s="21" t="s">
        <v>578</v>
      </c>
      <c r="I6" s="21"/>
      <c r="J6" s="21"/>
      <c r="K6" s="21"/>
      <c r="L6" s="21"/>
      <c r="M6" s="21"/>
      <c r="N6" s="21"/>
      <c r="O6" s="21"/>
      <c r="P6" s="21"/>
      <c r="Q6" s="21"/>
      <c r="R6" s="22" t="n">
        <f aca="false">COUNTIF(E6:Q6,"●")</f>
        <v>2</v>
      </c>
    </row>
    <row r="7" customFormat="false" ht="15" hidden="false" customHeight="false" outlineLevel="0" collapsed="false">
      <c r="A7" s="13" t="s">
        <v>83</v>
      </c>
      <c r="B7" s="13" t="s">
        <v>84</v>
      </c>
      <c r="C7" s="13" t="str">
        <f aca="false">SoA!D4</f>
        <v>Yes</v>
      </c>
      <c r="D7" s="13" t="str">
        <f aca="false">SoA!E4</f>
        <v>Partial</v>
      </c>
      <c r="E7" s="21" t="s">
        <v>578</v>
      </c>
      <c r="F7" s="21"/>
      <c r="G7" s="21" t="s">
        <v>578</v>
      </c>
      <c r="H7" s="21" t="s">
        <v>578</v>
      </c>
      <c r="I7" s="21"/>
      <c r="J7" s="21"/>
      <c r="K7" s="21"/>
      <c r="L7" s="21"/>
      <c r="M7" s="21"/>
      <c r="N7" s="21"/>
      <c r="O7" s="21"/>
      <c r="P7" s="21"/>
      <c r="Q7" s="21"/>
      <c r="R7" s="22" t="n">
        <f aca="false">COUNTIF(E7:Q7,"●")</f>
        <v>3</v>
      </c>
    </row>
    <row r="8" customFormat="false" ht="15" hidden="false" customHeight="false" outlineLevel="0" collapsed="false">
      <c r="A8" s="13" t="s">
        <v>89</v>
      </c>
      <c r="B8" s="13" t="s">
        <v>90</v>
      </c>
      <c r="C8" s="13" t="str">
        <f aca="false">SoA!D5</f>
        <v>Yes</v>
      </c>
      <c r="D8" s="13" t="str">
        <f aca="false">SoA!E5</f>
        <v>Implemented</v>
      </c>
      <c r="E8" s="21"/>
      <c r="F8" s="21"/>
      <c r="G8" s="21"/>
      <c r="H8" s="21" t="s">
        <v>578</v>
      </c>
      <c r="I8" s="21"/>
      <c r="J8" s="21"/>
      <c r="K8" s="21" t="s">
        <v>578</v>
      </c>
      <c r="L8" s="21"/>
      <c r="M8" s="21"/>
      <c r="N8" s="21"/>
      <c r="O8" s="21"/>
      <c r="P8" s="21"/>
      <c r="Q8" s="21"/>
      <c r="R8" s="22" t="n">
        <f aca="false">COUNTIF(E8:Q8,"●")</f>
        <v>2</v>
      </c>
    </row>
    <row r="9" customFormat="false" ht="15" hidden="false" customHeight="false" outlineLevel="0" collapsed="false">
      <c r="A9" s="13" t="s">
        <v>94</v>
      </c>
      <c r="B9" s="13" t="s">
        <v>95</v>
      </c>
      <c r="C9" s="13" t="str">
        <f aca="false">SoA!D6</f>
        <v>Yes</v>
      </c>
      <c r="D9" s="13" t="str">
        <f aca="false">SoA!E6</f>
        <v>Partial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 t="s">
        <v>578</v>
      </c>
      <c r="P9" s="21"/>
      <c r="Q9" s="21"/>
      <c r="R9" s="22" t="n">
        <f aca="false">COUNTIF(E9:Q9,"●")</f>
        <v>1</v>
      </c>
    </row>
    <row r="10" customFormat="false" ht="15" hidden="false" customHeight="false" outlineLevel="0" collapsed="false">
      <c r="A10" s="13" t="s">
        <v>99</v>
      </c>
      <c r="B10" s="13" t="s">
        <v>100</v>
      </c>
      <c r="C10" s="13" t="str">
        <f aca="false">SoA!D7</f>
        <v>Yes</v>
      </c>
      <c r="D10" s="13" t="str">
        <f aca="false">SoA!E7</f>
        <v>Partial</v>
      </c>
      <c r="E10" s="21"/>
      <c r="F10" s="21"/>
      <c r="G10" s="21"/>
      <c r="H10" s="21"/>
      <c r="I10" s="21"/>
      <c r="J10" s="21"/>
      <c r="K10" s="21" t="s">
        <v>578</v>
      </c>
      <c r="L10" s="21"/>
      <c r="M10" s="21"/>
      <c r="N10" s="21"/>
      <c r="O10" s="21"/>
      <c r="P10" s="21"/>
      <c r="Q10" s="21"/>
      <c r="R10" s="22" t="n">
        <f aca="false">COUNTIF(E10:Q10,"●")</f>
        <v>1</v>
      </c>
    </row>
    <row r="11" customFormat="false" ht="15" hidden="false" customHeight="false" outlineLevel="0" collapsed="false">
      <c r="A11" s="13" t="s">
        <v>103</v>
      </c>
      <c r="B11" s="13" t="s">
        <v>104</v>
      </c>
      <c r="C11" s="13" t="str">
        <f aca="false">SoA!D8</f>
        <v>Yes</v>
      </c>
      <c r="D11" s="13" t="str">
        <f aca="false">SoA!E8</f>
        <v>Partial</v>
      </c>
      <c r="E11" s="21"/>
      <c r="F11" s="21"/>
      <c r="G11" s="21" t="s">
        <v>578</v>
      </c>
      <c r="H11" s="21"/>
      <c r="I11" s="21"/>
      <c r="J11" s="21"/>
      <c r="K11" s="21" t="s">
        <v>578</v>
      </c>
      <c r="L11" s="21"/>
      <c r="M11" s="21" t="s">
        <v>578</v>
      </c>
      <c r="N11" s="21"/>
      <c r="O11" s="21"/>
      <c r="P11" s="21"/>
      <c r="Q11" s="21"/>
      <c r="R11" s="22" t="n">
        <f aca="false">COUNTIF(E11:Q11,"●")</f>
        <v>3</v>
      </c>
    </row>
    <row r="12" customFormat="false" ht="15" hidden="false" customHeight="false" outlineLevel="0" collapsed="false">
      <c r="A12" s="13" t="s">
        <v>108</v>
      </c>
      <c r="B12" s="13" t="s">
        <v>109</v>
      </c>
      <c r="C12" s="13" t="str">
        <f aca="false">SoA!D9</f>
        <v>Yes</v>
      </c>
      <c r="D12" s="13" t="str">
        <f aca="false">SoA!E9</f>
        <v>Partial</v>
      </c>
      <c r="E12" s="21"/>
      <c r="F12" s="21"/>
      <c r="G12" s="21" t="s">
        <v>578</v>
      </c>
      <c r="H12" s="21"/>
      <c r="I12" s="21"/>
      <c r="J12" s="21"/>
      <c r="K12" s="21"/>
      <c r="L12" s="21"/>
      <c r="M12" s="21"/>
      <c r="N12" s="21"/>
      <c r="O12" s="21"/>
      <c r="P12" s="21"/>
      <c r="Q12" s="21" t="s">
        <v>578</v>
      </c>
      <c r="R12" s="22" t="n">
        <f aca="false">COUNTIF(E12:Q12,"●")</f>
        <v>2</v>
      </c>
    </row>
    <row r="13" customFormat="false" ht="15" hidden="false" customHeight="false" outlineLevel="0" collapsed="false">
      <c r="A13" s="13" t="s">
        <v>113</v>
      </c>
      <c r="B13" s="13" t="s">
        <v>114</v>
      </c>
      <c r="C13" s="13" t="str">
        <f aca="false">SoA!D10</f>
        <v>Yes</v>
      </c>
      <c r="D13" s="13" t="str">
        <f aca="false">SoA!E10</f>
        <v>Partial</v>
      </c>
      <c r="E13" s="21"/>
      <c r="F13" s="21" t="s">
        <v>578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 t="n">
        <f aca="false">COUNTIF(E13:Q13,"●")</f>
        <v>1</v>
      </c>
    </row>
    <row r="14" customFormat="false" ht="15" hidden="false" customHeight="false" outlineLevel="0" collapsed="false">
      <c r="A14" s="13" t="s">
        <v>118</v>
      </c>
      <c r="B14" s="13" t="s">
        <v>119</v>
      </c>
      <c r="C14" s="13" t="str">
        <f aca="false">SoA!D11</f>
        <v>Yes</v>
      </c>
      <c r="D14" s="13" t="str">
        <f aca="false">SoA!E11</f>
        <v>Implemented</v>
      </c>
      <c r="E14" s="21"/>
      <c r="F14" s="21" t="s">
        <v>578</v>
      </c>
      <c r="G14" s="21"/>
      <c r="H14" s="21" t="s">
        <v>578</v>
      </c>
      <c r="I14" s="21"/>
      <c r="J14" s="21"/>
      <c r="K14" s="21" t="s">
        <v>578</v>
      </c>
      <c r="L14" s="21"/>
      <c r="M14" s="21"/>
      <c r="N14" s="21"/>
      <c r="O14" s="21"/>
      <c r="P14" s="21"/>
      <c r="Q14" s="21"/>
      <c r="R14" s="22" t="n">
        <f aca="false">COUNTIF(E14:Q14,"●")</f>
        <v>3</v>
      </c>
    </row>
    <row r="15" customFormat="false" ht="15" hidden="false" customHeight="false" outlineLevel="0" collapsed="false">
      <c r="A15" s="13" t="s">
        <v>123</v>
      </c>
      <c r="B15" s="13" t="s">
        <v>124</v>
      </c>
      <c r="C15" s="13" t="str">
        <f aca="false">SoA!D12</f>
        <v>Yes</v>
      </c>
      <c r="D15" s="13" t="str">
        <f aca="false">SoA!E12</f>
        <v>Implemented</v>
      </c>
      <c r="E15" s="21"/>
      <c r="F15" s="21" t="s">
        <v>578</v>
      </c>
      <c r="G15" s="21"/>
      <c r="H15" s="21" t="s">
        <v>578</v>
      </c>
      <c r="I15" s="21"/>
      <c r="J15" s="21"/>
      <c r="K15" s="21"/>
      <c r="L15" s="21"/>
      <c r="M15" s="21"/>
      <c r="N15" s="21"/>
      <c r="O15" s="21"/>
      <c r="P15" s="21"/>
      <c r="Q15" s="21"/>
      <c r="R15" s="22" t="n">
        <f aca="false">COUNTIF(E15:Q15,"●")</f>
        <v>2</v>
      </c>
    </row>
    <row r="16" customFormat="false" ht="15" hidden="false" customHeight="false" outlineLevel="0" collapsed="false">
      <c r="A16" s="13" t="s">
        <v>128</v>
      </c>
      <c r="B16" s="13" t="s">
        <v>129</v>
      </c>
      <c r="C16" s="13" t="str">
        <f aca="false">SoA!D13</f>
        <v>Yes</v>
      </c>
      <c r="D16" s="13" t="str">
        <f aca="false">SoA!E13</f>
        <v>Partial</v>
      </c>
      <c r="E16" s="21" t="s">
        <v>578</v>
      </c>
      <c r="F16" s="21"/>
      <c r="G16" s="21"/>
      <c r="H16" s="21"/>
      <c r="I16" s="21"/>
      <c r="J16" s="21"/>
      <c r="K16" s="21"/>
      <c r="L16" s="21"/>
      <c r="M16" s="21"/>
      <c r="N16" s="21"/>
      <c r="O16" s="21" t="s">
        <v>578</v>
      </c>
      <c r="P16" s="21" t="s">
        <v>578</v>
      </c>
      <c r="Q16" s="21"/>
      <c r="R16" s="22" t="n">
        <f aca="false">COUNTIF(E16:Q16,"●")</f>
        <v>3</v>
      </c>
    </row>
    <row r="17" customFormat="false" ht="15" hidden="false" customHeight="false" outlineLevel="0" collapsed="false">
      <c r="A17" s="13" t="s">
        <v>133</v>
      </c>
      <c r="B17" s="13" t="s">
        <v>134</v>
      </c>
      <c r="C17" s="13" t="str">
        <f aca="false">SoA!D14</f>
        <v>Yes</v>
      </c>
      <c r="D17" s="13" t="str">
        <f aca="false">SoA!E14</f>
        <v>Planned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 t="s">
        <v>578</v>
      </c>
      <c r="P17" s="21"/>
      <c r="Q17" s="21"/>
      <c r="R17" s="22" t="n">
        <f aca="false">COUNTIF(E17:Q17,"●")</f>
        <v>1</v>
      </c>
    </row>
    <row r="18" customFormat="false" ht="15" hidden="false" customHeight="false" outlineLevel="0" collapsed="false">
      <c r="A18" s="13" t="s">
        <v>137</v>
      </c>
      <c r="B18" s="13" t="s">
        <v>138</v>
      </c>
      <c r="C18" s="13" t="str">
        <f aca="false">SoA!D15</f>
        <v>Yes</v>
      </c>
      <c r="D18" s="13" t="str">
        <f aca="false">SoA!E15</f>
        <v>Partial</v>
      </c>
      <c r="E18" s="21" t="s">
        <v>578</v>
      </c>
      <c r="F18" s="21"/>
      <c r="G18" s="21"/>
      <c r="H18" s="21"/>
      <c r="I18" s="21"/>
      <c r="J18" s="21"/>
      <c r="K18" s="21"/>
      <c r="L18" s="21"/>
      <c r="M18" s="21"/>
      <c r="N18" s="21"/>
      <c r="O18" s="21" t="s">
        <v>578</v>
      </c>
      <c r="P18" s="21"/>
      <c r="Q18" s="21"/>
      <c r="R18" s="22" t="n">
        <f aca="false">COUNTIF(E18:Q18,"●")</f>
        <v>2</v>
      </c>
    </row>
    <row r="19" customFormat="false" ht="15" hidden="false" customHeight="false" outlineLevel="0" collapsed="false">
      <c r="A19" s="13" t="s">
        <v>142</v>
      </c>
      <c r="B19" s="13" t="s">
        <v>143</v>
      </c>
      <c r="C19" s="13" t="str">
        <f aca="false">SoA!D16</f>
        <v>Yes</v>
      </c>
      <c r="D19" s="13" t="str">
        <f aca="false">SoA!E16</f>
        <v>Implemented</v>
      </c>
      <c r="E19" s="21" t="s">
        <v>578</v>
      </c>
      <c r="F19" s="21"/>
      <c r="G19" s="21"/>
      <c r="H19" s="21" t="s">
        <v>578</v>
      </c>
      <c r="I19" s="21"/>
      <c r="J19" s="21"/>
      <c r="K19" s="21"/>
      <c r="L19" s="21"/>
      <c r="M19" s="21"/>
      <c r="N19" s="21"/>
      <c r="O19" s="21"/>
      <c r="P19" s="21"/>
      <c r="Q19" s="21"/>
      <c r="R19" s="22" t="n">
        <f aca="false">COUNTIF(E19:Q19,"●")</f>
        <v>2</v>
      </c>
    </row>
    <row r="20" customFormat="false" ht="15" hidden="false" customHeight="false" outlineLevel="0" collapsed="false">
      <c r="A20" s="13" t="s">
        <v>147</v>
      </c>
      <c r="B20" s="13" t="s">
        <v>148</v>
      </c>
      <c r="C20" s="13" t="str">
        <f aca="false">SoA!D17</f>
        <v>Yes</v>
      </c>
      <c r="D20" s="13" t="str">
        <f aca="false">SoA!E17</f>
        <v>Implemented</v>
      </c>
      <c r="E20" s="21" t="s">
        <v>578</v>
      </c>
      <c r="F20" s="21"/>
      <c r="G20" s="21"/>
      <c r="H20" s="21" t="s">
        <v>578</v>
      </c>
      <c r="I20" s="21"/>
      <c r="J20" s="21"/>
      <c r="K20" s="21"/>
      <c r="L20" s="21"/>
      <c r="M20" s="21"/>
      <c r="N20" s="21"/>
      <c r="O20" s="21"/>
      <c r="P20" s="21"/>
      <c r="Q20" s="21"/>
      <c r="R20" s="22" t="n">
        <f aca="false">COUNTIF(E20:Q20,"●")</f>
        <v>2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3" t="str">
        <f aca="false">SoA!D18</f>
        <v>Yes</v>
      </c>
      <c r="D21" s="13" t="str">
        <f aca="false">SoA!E18</f>
        <v>Implemented</v>
      </c>
      <c r="E21" s="21" t="s">
        <v>578</v>
      </c>
      <c r="F21" s="21"/>
      <c r="G21" s="21"/>
      <c r="H21" s="21"/>
      <c r="I21" s="21"/>
      <c r="J21" s="21"/>
      <c r="K21" s="21" t="s">
        <v>578</v>
      </c>
      <c r="L21" s="21"/>
      <c r="M21" s="21"/>
      <c r="N21" s="21" t="s">
        <v>578</v>
      </c>
      <c r="O21" s="21"/>
      <c r="P21" s="21"/>
      <c r="Q21" s="21"/>
      <c r="R21" s="22" t="n">
        <f aca="false">COUNTIF(E21:Q21,"●")</f>
        <v>3</v>
      </c>
    </row>
    <row r="22" customFormat="false" ht="15" hidden="false" customHeight="false" outlineLevel="0" collapsed="false">
      <c r="A22" s="13" t="s">
        <v>156</v>
      </c>
      <c r="B22" s="13" t="s">
        <v>157</v>
      </c>
      <c r="C22" s="13" t="str">
        <f aca="false">SoA!D19</f>
        <v>Yes</v>
      </c>
      <c r="D22" s="13" t="str">
        <f aca="false">SoA!E19</f>
        <v>Partial</v>
      </c>
      <c r="E22" s="21" t="s">
        <v>578</v>
      </c>
      <c r="F22" s="21"/>
      <c r="G22" s="21"/>
      <c r="H22" s="21" t="s">
        <v>578</v>
      </c>
      <c r="I22" s="21"/>
      <c r="J22" s="21"/>
      <c r="K22" s="21"/>
      <c r="L22" s="21"/>
      <c r="M22" s="21"/>
      <c r="N22" s="21"/>
      <c r="O22" s="21"/>
      <c r="P22" s="21"/>
      <c r="Q22" s="21"/>
      <c r="R22" s="22" t="n">
        <f aca="false">COUNTIF(E22:Q22,"●")</f>
        <v>2</v>
      </c>
    </row>
    <row r="23" customFormat="false" ht="15" hidden="false" customHeight="false" outlineLevel="0" collapsed="false">
      <c r="A23" s="13" t="s">
        <v>161</v>
      </c>
      <c r="B23" s="13" t="s">
        <v>162</v>
      </c>
      <c r="C23" s="13" t="str">
        <f aca="false">SoA!D20</f>
        <v>Yes</v>
      </c>
      <c r="D23" s="13" t="str">
        <f aca="false">SoA!E20</f>
        <v>Partial</v>
      </c>
      <c r="E23" s="21"/>
      <c r="F23" s="21"/>
      <c r="G23" s="21"/>
      <c r="H23" s="21"/>
      <c r="I23" s="21" t="s">
        <v>578</v>
      </c>
      <c r="J23" s="21"/>
      <c r="K23" s="21"/>
      <c r="L23" s="21"/>
      <c r="M23" s="21" t="s">
        <v>578</v>
      </c>
      <c r="N23" s="21"/>
      <c r="O23" s="21"/>
      <c r="P23" s="21"/>
      <c r="Q23" s="21"/>
      <c r="R23" s="22" t="n">
        <f aca="false">COUNTIF(E23:Q23,"●")</f>
        <v>2</v>
      </c>
    </row>
    <row r="24" customFormat="false" ht="15" hidden="false" customHeight="false" outlineLevel="0" collapsed="false">
      <c r="A24" s="13" t="s">
        <v>166</v>
      </c>
      <c r="B24" s="13" t="s">
        <v>167</v>
      </c>
      <c r="C24" s="13" t="str">
        <f aca="false">SoA!D21</f>
        <v>Yes</v>
      </c>
      <c r="D24" s="13" t="str">
        <f aca="false">SoA!E21</f>
        <v>Partial</v>
      </c>
      <c r="E24" s="21"/>
      <c r="F24" s="21"/>
      <c r="G24" s="21"/>
      <c r="H24" s="21"/>
      <c r="I24" s="21" t="s">
        <v>578</v>
      </c>
      <c r="J24" s="21"/>
      <c r="K24" s="21"/>
      <c r="L24" s="21"/>
      <c r="M24" s="21"/>
      <c r="N24" s="21"/>
      <c r="O24" s="21" t="s">
        <v>578</v>
      </c>
      <c r="P24" s="21"/>
      <c r="Q24" s="21"/>
      <c r="R24" s="22" t="n">
        <f aca="false">COUNTIF(E24:Q24,"●")</f>
        <v>2</v>
      </c>
    </row>
    <row r="25" customFormat="false" ht="15" hidden="false" customHeight="false" outlineLevel="0" collapsed="false">
      <c r="A25" s="13" t="s">
        <v>171</v>
      </c>
      <c r="B25" s="13" t="s">
        <v>172</v>
      </c>
      <c r="C25" s="13" t="str">
        <f aca="false">SoA!D22</f>
        <v>Yes</v>
      </c>
      <c r="D25" s="13" t="str">
        <f aca="false">SoA!E22</f>
        <v>Partial</v>
      </c>
      <c r="E25" s="21"/>
      <c r="F25" s="21"/>
      <c r="G25" s="21"/>
      <c r="H25" s="21"/>
      <c r="I25" s="21" t="s">
        <v>578</v>
      </c>
      <c r="J25" s="21"/>
      <c r="K25" s="21"/>
      <c r="L25" s="21"/>
      <c r="M25" s="21" t="s">
        <v>578</v>
      </c>
      <c r="N25" s="21"/>
      <c r="O25" s="21"/>
      <c r="P25" s="21"/>
      <c r="Q25" s="21"/>
      <c r="R25" s="22" t="n">
        <f aca="false">COUNTIF(E25:Q25,"●")</f>
        <v>2</v>
      </c>
    </row>
    <row r="26" customFormat="false" ht="22.35" hidden="false" customHeight="false" outlineLevel="0" collapsed="false">
      <c r="A26" s="13" t="s">
        <v>175</v>
      </c>
      <c r="B26" s="13" t="s">
        <v>176</v>
      </c>
      <c r="C26" s="13" t="str">
        <f aca="false">SoA!D23</f>
        <v>Yes</v>
      </c>
      <c r="D26" s="13" t="str">
        <f aca="false">SoA!E23</f>
        <v>Partial</v>
      </c>
      <c r="E26" s="21"/>
      <c r="F26" s="21"/>
      <c r="G26" s="21"/>
      <c r="H26" s="21"/>
      <c r="I26" s="21" t="s">
        <v>578</v>
      </c>
      <c r="J26" s="21"/>
      <c r="K26" s="21"/>
      <c r="L26" s="21"/>
      <c r="M26" s="21"/>
      <c r="N26" s="21"/>
      <c r="O26" s="21"/>
      <c r="P26" s="21"/>
      <c r="Q26" s="21"/>
      <c r="R26" s="22" t="n">
        <f aca="false">COUNTIF(E26:Q26,"●")</f>
        <v>1</v>
      </c>
    </row>
    <row r="27" customFormat="false" ht="15" hidden="false" customHeight="false" outlineLevel="0" collapsed="false">
      <c r="A27" s="13" t="s">
        <v>180</v>
      </c>
      <c r="B27" s="13" t="s">
        <v>181</v>
      </c>
      <c r="C27" s="13" t="str">
        <f aca="false">SoA!D24</f>
        <v>Yes</v>
      </c>
      <c r="D27" s="13" t="str">
        <f aca="false">SoA!E24</f>
        <v>Implemented</v>
      </c>
      <c r="E27" s="21"/>
      <c r="F27" s="21"/>
      <c r="G27" s="21" t="s">
        <v>578</v>
      </c>
      <c r="H27" s="21"/>
      <c r="I27" s="21" t="s">
        <v>578</v>
      </c>
      <c r="J27" s="21"/>
      <c r="K27" s="21"/>
      <c r="L27" s="21"/>
      <c r="M27" s="21"/>
      <c r="N27" s="21"/>
      <c r="O27" s="21"/>
      <c r="P27" s="21"/>
      <c r="Q27" s="21"/>
      <c r="R27" s="22" t="n">
        <f aca="false">COUNTIF(E27:Q27,"●")</f>
        <v>2</v>
      </c>
    </row>
    <row r="28" customFormat="false" ht="22.35" hidden="false" customHeight="false" outlineLevel="0" collapsed="false">
      <c r="A28" s="13" t="s">
        <v>185</v>
      </c>
      <c r="B28" s="13" t="s">
        <v>186</v>
      </c>
      <c r="C28" s="13" t="str">
        <f aca="false">SoA!D25</f>
        <v>Yes</v>
      </c>
      <c r="D28" s="13" t="str">
        <f aca="false">SoA!E25</f>
        <v>Implemented</v>
      </c>
      <c r="E28" s="21"/>
      <c r="F28" s="21"/>
      <c r="G28" s="21"/>
      <c r="H28" s="21"/>
      <c r="I28" s="21"/>
      <c r="J28" s="21" t="s">
        <v>578</v>
      </c>
      <c r="K28" s="21"/>
      <c r="L28" s="21"/>
      <c r="M28" s="21"/>
      <c r="N28" s="21"/>
      <c r="O28" s="21"/>
      <c r="P28" s="21"/>
      <c r="Q28" s="21"/>
      <c r="R28" s="22" t="n">
        <f aca="false">COUNTIF(E28:Q28,"●")</f>
        <v>1</v>
      </c>
    </row>
    <row r="29" customFormat="false" ht="15" hidden="false" customHeight="false" outlineLevel="0" collapsed="false">
      <c r="A29" s="13" t="s">
        <v>190</v>
      </c>
      <c r="B29" s="13" t="s">
        <v>191</v>
      </c>
      <c r="C29" s="13" t="str">
        <f aca="false">SoA!D26</f>
        <v>Yes</v>
      </c>
      <c r="D29" s="13" t="str">
        <f aca="false">SoA!E26</f>
        <v>Partial</v>
      </c>
      <c r="E29" s="21"/>
      <c r="F29" s="21"/>
      <c r="G29" s="21" t="s">
        <v>578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2" t="n">
        <f aca="false">COUNTIF(E29:Q29,"●")</f>
        <v>1</v>
      </c>
    </row>
    <row r="30" customFormat="false" ht="15" hidden="false" customHeight="false" outlineLevel="0" collapsed="false">
      <c r="A30" s="13" t="s">
        <v>195</v>
      </c>
      <c r="B30" s="13" t="s">
        <v>196</v>
      </c>
      <c r="C30" s="13" t="str">
        <f aca="false">SoA!D27</f>
        <v>Yes</v>
      </c>
      <c r="D30" s="13" t="str">
        <f aca="false">SoA!E27</f>
        <v>Partial</v>
      </c>
      <c r="E30" s="21"/>
      <c r="F30" s="21"/>
      <c r="G30" s="21" t="s">
        <v>578</v>
      </c>
      <c r="H30" s="21"/>
      <c r="I30" s="21"/>
      <c r="J30" s="21" t="s">
        <v>578</v>
      </c>
      <c r="K30" s="21"/>
      <c r="L30" s="21" t="s">
        <v>578</v>
      </c>
      <c r="M30" s="21"/>
      <c r="N30" s="21"/>
      <c r="O30" s="21"/>
      <c r="P30" s="21"/>
      <c r="Q30" s="21"/>
      <c r="R30" s="22" t="n">
        <f aca="false">COUNTIF(E30:Q30,"●")</f>
        <v>3</v>
      </c>
    </row>
    <row r="31" customFormat="false" ht="15" hidden="false" customHeight="false" outlineLevel="0" collapsed="false">
      <c r="A31" s="13" t="s">
        <v>200</v>
      </c>
      <c r="B31" s="13" t="s">
        <v>201</v>
      </c>
      <c r="C31" s="13" t="str">
        <f aca="false">SoA!D28</f>
        <v>Yes</v>
      </c>
      <c r="D31" s="13" t="str">
        <f aca="false">SoA!E28</f>
        <v>Partial</v>
      </c>
      <c r="E31" s="21"/>
      <c r="F31" s="21"/>
      <c r="G31" s="21"/>
      <c r="H31" s="21"/>
      <c r="I31" s="21"/>
      <c r="J31" s="21" t="s">
        <v>578</v>
      </c>
      <c r="K31" s="21"/>
      <c r="L31" s="21"/>
      <c r="M31" s="21"/>
      <c r="N31" s="21"/>
      <c r="O31" s="21"/>
      <c r="P31" s="21"/>
      <c r="Q31" s="21"/>
      <c r="R31" s="22" t="n">
        <f aca="false">COUNTIF(E31:Q31,"●")</f>
        <v>1</v>
      </c>
    </row>
    <row r="32" customFormat="false" ht="15" hidden="false" customHeight="false" outlineLevel="0" collapsed="false">
      <c r="A32" s="13" t="s">
        <v>203</v>
      </c>
      <c r="B32" s="13" t="s">
        <v>204</v>
      </c>
      <c r="C32" s="13" t="str">
        <f aca="false">SoA!D29</f>
        <v>Yes</v>
      </c>
      <c r="D32" s="13" t="str">
        <f aca="false">SoA!E29</f>
        <v>Planned</v>
      </c>
      <c r="E32" s="21"/>
      <c r="F32" s="21"/>
      <c r="G32" s="21"/>
      <c r="H32" s="21" t="s">
        <v>578</v>
      </c>
      <c r="I32" s="21"/>
      <c r="J32" s="21"/>
      <c r="K32" s="21"/>
      <c r="L32" s="21"/>
      <c r="M32" s="21"/>
      <c r="N32" s="21"/>
      <c r="O32" s="21"/>
      <c r="P32" s="21"/>
      <c r="Q32" s="21"/>
      <c r="R32" s="22" t="n">
        <f aca="false">COUNTIF(E32:Q32,"●")</f>
        <v>1</v>
      </c>
    </row>
    <row r="33" customFormat="false" ht="15" hidden="false" customHeight="false" outlineLevel="0" collapsed="false">
      <c r="A33" s="13" t="s">
        <v>208</v>
      </c>
      <c r="B33" s="13" t="s">
        <v>209</v>
      </c>
      <c r="C33" s="13" t="str">
        <f aca="false">SoA!D30</f>
        <v>Yes</v>
      </c>
      <c r="D33" s="13" t="str">
        <f aca="false">SoA!E30</f>
        <v>Partial</v>
      </c>
      <c r="E33" s="21"/>
      <c r="F33" s="21"/>
      <c r="G33" s="21"/>
      <c r="H33" s="21"/>
      <c r="I33" s="21" t="s">
        <v>578</v>
      </c>
      <c r="J33" s="21" t="s">
        <v>578</v>
      </c>
      <c r="K33" s="21"/>
      <c r="L33" s="21" t="s">
        <v>578</v>
      </c>
      <c r="M33" s="21"/>
      <c r="N33" s="21"/>
      <c r="O33" s="21"/>
      <c r="P33" s="21"/>
      <c r="Q33" s="21"/>
      <c r="R33" s="22" t="n">
        <f aca="false">COUNTIF(E33:Q33,"●")</f>
        <v>3</v>
      </c>
    </row>
    <row r="34" customFormat="false" ht="15" hidden="false" customHeight="false" outlineLevel="0" collapsed="false">
      <c r="A34" s="13" t="s">
        <v>213</v>
      </c>
      <c r="B34" s="13" t="s">
        <v>214</v>
      </c>
      <c r="C34" s="13" t="str">
        <f aca="false">SoA!D31</f>
        <v>Yes</v>
      </c>
      <c r="D34" s="13" t="str">
        <f aca="false">SoA!E31</f>
        <v>Partial</v>
      </c>
      <c r="E34" s="21"/>
      <c r="F34" s="21"/>
      <c r="G34" s="21"/>
      <c r="H34" s="21"/>
      <c r="I34" s="21" t="s">
        <v>578</v>
      </c>
      <c r="J34" s="21" t="s">
        <v>578</v>
      </c>
      <c r="K34" s="21"/>
      <c r="L34" s="21" t="s">
        <v>578</v>
      </c>
      <c r="M34" s="21"/>
      <c r="N34" s="21"/>
      <c r="O34" s="21"/>
      <c r="P34" s="21"/>
      <c r="Q34" s="21"/>
      <c r="R34" s="22" t="n">
        <f aca="false">COUNTIF(E34:Q34,"●")</f>
        <v>3</v>
      </c>
    </row>
    <row r="35" customFormat="false" ht="15" hidden="false" customHeight="false" outlineLevel="0" collapsed="false">
      <c r="A35" s="13" t="s">
        <v>218</v>
      </c>
      <c r="B35" s="13" t="s">
        <v>219</v>
      </c>
      <c r="C35" s="13" t="str">
        <f aca="false">SoA!D32</f>
        <v>Yes</v>
      </c>
      <c r="D35" s="13" t="str">
        <f aca="false">SoA!E32</f>
        <v>Implemented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 t="s">
        <v>578</v>
      </c>
      <c r="P35" s="21"/>
      <c r="Q35" s="21"/>
      <c r="R35" s="22" t="n">
        <f aca="false">COUNTIF(E35:Q35,"●")</f>
        <v>1</v>
      </c>
    </row>
    <row r="36" customFormat="false" ht="15" hidden="false" customHeight="false" outlineLevel="0" collapsed="false">
      <c r="A36" s="13" t="s">
        <v>222</v>
      </c>
      <c r="B36" s="13" t="s">
        <v>223</v>
      </c>
      <c r="C36" s="13" t="str">
        <f aca="false">SoA!D33</f>
        <v>Yes</v>
      </c>
      <c r="D36" s="13" t="str">
        <f aca="false">SoA!E33</f>
        <v>Partial</v>
      </c>
      <c r="E36" s="21"/>
      <c r="F36" s="21"/>
      <c r="G36" s="21"/>
      <c r="H36" s="21"/>
      <c r="I36" s="21"/>
      <c r="J36" s="21"/>
      <c r="K36" s="21"/>
      <c r="L36" s="21"/>
      <c r="M36" s="21" t="s">
        <v>578</v>
      </c>
      <c r="N36" s="21"/>
      <c r="O36" s="21"/>
      <c r="P36" s="21"/>
      <c r="Q36" s="21"/>
      <c r="R36" s="22" t="n">
        <f aca="false">COUNTIF(E36:Q36,"●")</f>
        <v>1</v>
      </c>
    </row>
    <row r="37" customFormat="false" ht="15" hidden="false" customHeight="false" outlineLevel="0" collapsed="false">
      <c r="A37" s="13" t="s">
        <v>227</v>
      </c>
      <c r="B37" s="13" t="s">
        <v>228</v>
      </c>
      <c r="C37" s="13" t="str">
        <f aca="false">SoA!D34</f>
        <v>Yes</v>
      </c>
      <c r="D37" s="13" t="str">
        <f aca="false">SoA!E34</f>
        <v>Partial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 t="s">
        <v>578</v>
      </c>
      <c r="P37" s="21" t="s">
        <v>578</v>
      </c>
      <c r="Q37" s="21"/>
      <c r="R37" s="22" t="n">
        <f aca="false">COUNTIF(E37:Q37,"●")</f>
        <v>2</v>
      </c>
    </row>
    <row r="38" customFormat="false" ht="15" hidden="false" customHeight="false" outlineLevel="0" collapsed="false">
      <c r="A38" s="13" t="s">
        <v>232</v>
      </c>
      <c r="B38" s="13" t="s">
        <v>233</v>
      </c>
      <c r="C38" s="13" t="str">
        <f aca="false">SoA!D35</f>
        <v>Yes</v>
      </c>
      <c r="D38" s="13" t="str">
        <f aca="false">SoA!E35</f>
        <v>Partial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 t="s">
        <v>578</v>
      </c>
      <c r="P38" s="21" t="s">
        <v>578</v>
      </c>
      <c r="Q38" s="21"/>
      <c r="R38" s="22" t="n">
        <f aca="false">COUNTIF(E38:Q38,"●")</f>
        <v>2</v>
      </c>
    </row>
    <row r="39" customFormat="false" ht="15" hidden="false" customHeight="false" outlineLevel="0" collapsed="false">
      <c r="A39" s="13" t="s">
        <v>236</v>
      </c>
      <c r="B39" s="13" t="s">
        <v>237</v>
      </c>
      <c r="C39" s="13" t="str">
        <f aca="false">SoA!D36</f>
        <v>Yes</v>
      </c>
      <c r="D39" s="13" t="str">
        <f aca="false">SoA!E36</f>
        <v>Planned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2" t="n">
        <f aca="false">COUNTIF(E39:Q39,"●")</f>
        <v>0</v>
      </c>
    </row>
    <row r="40" customFormat="false" ht="22.35" hidden="false" customHeight="false" outlineLevel="0" collapsed="false">
      <c r="A40" s="13" t="s">
        <v>241</v>
      </c>
      <c r="B40" s="13" t="s">
        <v>242</v>
      </c>
      <c r="C40" s="13" t="str">
        <f aca="false">SoA!D37</f>
        <v>Yes</v>
      </c>
      <c r="D40" s="13" t="str">
        <f aca="false">SoA!E37</f>
        <v>Partial</v>
      </c>
      <c r="E40" s="21"/>
      <c r="F40" s="21"/>
      <c r="G40" s="21" t="s">
        <v>578</v>
      </c>
      <c r="H40" s="21" t="s">
        <v>578</v>
      </c>
      <c r="I40" s="21"/>
      <c r="J40" s="21"/>
      <c r="K40" s="21"/>
      <c r="L40" s="21"/>
      <c r="M40" s="21"/>
      <c r="N40" s="21"/>
      <c r="O40" s="21"/>
      <c r="P40" s="21"/>
      <c r="Q40" s="21"/>
      <c r="R40" s="22" t="n">
        <f aca="false">COUNTIF(E40:Q40,"●")</f>
        <v>2</v>
      </c>
    </row>
    <row r="41" customFormat="false" ht="15" hidden="false" customHeight="false" outlineLevel="0" collapsed="false">
      <c r="A41" s="13" t="s">
        <v>245</v>
      </c>
      <c r="B41" s="13" t="s">
        <v>246</v>
      </c>
      <c r="C41" s="13" t="str">
        <f aca="false">SoA!D38</f>
        <v>Yes</v>
      </c>
      <c r="D41" s="13" t="str">
        <f aca="false">SoA!E38</f>
        <v>Partial</v>
      </c>
      <c r="E41" s="21"/>
      <c r="F41" s="21"/>
      <c r="G41" s="21" t="s">
        <v>578</v>
      </c>
      <c r="H41" s="21"/>
      <c r="I41" s="21"/>
      <c r="J41" s="21" t="s">
        <v>578</v>
      </c>
      <c r="K41" s="21"/>
      <c r="L41" s="21"/>
      <c r="M41" s="21"/>
      <c r="N41" s="21"/>
      <c r="O41" s="21"/>
      <c r="P41" s="21"/>
      <c r="Q41" s="21"/>
      <c r="R41" s="22" t="n">
        <f aca="false">COUNTIF(E41:Q41,"●")</f>
        <v>2</v>
      </c>
    </row>
    <row r="42" customFormat="false" ht="15" hidden="false" customHeight="false" outlineLevel="0" collapsed="false">
      <c r="A42" s="13" t="s">
        <v>250</v>
      </c>
      <c r="B42" s="13" t="s">
        <v>251</v>
      </c>
      <c r="C42" s="13" t="str">
        <f aca="false">SoA!D39</f>
        <v>Yes</v>
      </c>
      <c r="D42" s="13" t="str">
        <f aca="false">SoA!E39</f>
        <v>Implemented</v>
      </c>
      <c r="E42" s="21"/>
      <c r="F42" s="21"/>
      <c r="G42" s="21"/>
      <c r="H42" s="21" t="s">
        <v>578</v>
      </c>
      <c r="I42" s="21"/>
      <c r="J42" s="21"/>
      <c r="K42" s="21"/>
      <c r="L42" s="21"/>
      <c r="M42" s="21"/>
      <c r="N42" s="21"/>
      <c r="O42" s="21"/>
      <c r="P42" s="21"/>
      <c r="Q42" s="21"/>
      <c r="R42" s="22" t="n">
        <f aca="false">COUNTIF(E42:Q42,"●")</f>
        <v>1</v>
      </c>
    </row>
    <row r="43" customFormat="false" ht="15" hidden="false" customHeight="false" outlineLevel="0" collapsed="false">
      <c r="A43" s="13" t="s">
        <v>254</v>
      </c>
      <c r="B43" s="13" t="s">
        <v>255</v>
      </c>
      <c r="C43" s="13" t="str">
        <f aca="false">SoA!D40</f>
        <v>Yes</v>
      </c>
      <c r="D43" s="13" t="str">
        <f aca="false">SoA!E40</f>
        <v>Implemented</v>
      </c>
      <c r="E43" s="21"/>
      <c r="F43" s="21"/>
      <c r="G43" s="21"/>
      <c r="H43" s="21" t="s">
        <v>578</v>
      </c>
      <c r="I43" s="21"/>
      <c r="J43" s="21"/>
      <c r="K43" s="21"/>
      <c r="L43" s="21"/>
      <c r="M43" s="21"/>
      <c r="N43" s="21"/>
      <c r="O43" s="21"/>
      <c r="P43" s="21"/>
      <c r="Q43" s="21"/>
      <c r="R43" s="22" t="n">
        <f aca="false">COUNTIF(E43:Q43,"●")</f>
        <v>1</v>
      </c>
    </row>
    <row r="44" customFormat="false" ht="15" hidden="false" customHeight="false" outlineLevel="0" collapsed="false">
      <c r="A44" s="13" t="s">
        <v>257</v>
      </c>
      <c r="B44" s="13" t="s">
        <v>258</v>
      </c>
      <c r="C44" s="13" t="str">
        <f aca="false">SoA!D41</f>
        <v>Yes</v>
      </c>
      <c r="D44" s="13" t="str">
        <f aca="false">SoA!E41</f>
        <v>Partial</v>
      </c>
      <c r="E44" s="21"/>
      <c r="F44" s="21"/>
      <c r="G44" s="21"/>
      <c r="H44" s="21" t="s">
        <v>578</v>
      </c>
      <c r="I44" s="21"/>
      <c r="J44" s="21"/>
      <c r="K44" s="21" t="s">
        <v>578</v>
      </c>
      <c r="L44" s="21"/>
      <c r="M44" s="21"/>
      <c r="N44" s="21"/>
      <c r="O44" s="21"/>
      <c r="P44" s="21"/>
      <c r="Q44" s="21"/>
      <c r="R44" s="22" t="n">
        <f aca="false">COUNTIF(E44:Q44,"●")</f>
        <v>2</v>
      </c>
    </row>
    <row r="45" customFormat="false" ht="15" hidden="false" customHeight="false" outlineLevel="0" collapsed="false">
      <c r="A45" s="13" t="s">
        <v>262</v>
      </c>
      <c r="B45" s="13" t="s">
        <v>263</v>
      </c>
      <c r="C45" s="13" t="str">
        <f aca="false">SoA!D42</f>
        <v>Yes</v>
      </c>
      <c r="D45" s="13" t="str">
        <f aca="false">SoA!E42</f>
        <v>Implemented</v>
      </c>
      <c r="E45" s="21"/>
      <c r="F45" s="21"/>
      <c r="G45" s="21"/>
      <c r="H45" s="21" t="s">
        <v>578</v>
      </c>
      <c r="I45" s="21"/>
      <c r="J45" s="21"/>
      <c r="K45" s="21"/>
      <c r="L45" s="21"/>
      <c r="M45" s="21"/>
      <c r="N45" s="21"/>
      <c r="O45" s="21"/>
      <c r="P45" s="21"/>
      <c r="Q45" s="21"/>
      <c r="R45" s="22" t="n">
        <f aca="false">COUNTIF(E45:Q45,"●")</f>
        <v>1</v>
      </c>
    </row>
    <row r="46" customFormat="false" ht="15" hidden="false" customHeight="false" outlineLevel="0" collapsed="false">
      <c r="A46" s="13" t="s">
        <v>265</v>
      </c>
      <c r="B46" s="13" t="s">
        <v>266</v>
      </c>
      <c r="C46" s="13" t="str">
        <f aca="false">SoA!D43</f>
        <v>Yes</v>
      </c>
      <c r="D46" s="13" t="str">
        <f aca="false">SoA!E43</f>
        <v>Implemented</v>
      </c>
      <c r="E46" s="21"/>
      <c r="F46" s="21" t="s">
        <v>578</v>
      </c>
      <c r="G46" s="21"/>
      <c r="H46" s="21" t="s">
        <v>578</v>
      </c>
      <c r="I46" s="21"/>
      <c r="J46" s="21"/>
      <c r="K46" s="21"/>
      <c r="L46" s="21"/>
      <c r="M46" s="21"/>
      <c r="N46" s="21"/>
      <c r="O46" s="21"/>
      <c r="P46" s="21"/>
      <c r="Q46" s="21"/>
      <c r="R46" s="22" t="n">
        <f aca="false">COUNTIF(E46:Q46,"●")</f>
        <v>2</v>
      </c>
    </row>
    <row r="47" customFormat="false" ht="15" hidden="false" customHeight="false" outlineLevel="0" collapsed="false">
      <c r="A47" s="13" t="s">
        <v>268</v>
      </c>
      <c r="B47" s="13" t="s">
        <v>269</v>
      </c>
      <c r="C47" s="13" t="str">
        <f aca="false">SoA!D44</f>
        <v>Yes</v>
      </c>
      <c r="D47" s="13" t="str">
        <f aca="false">SoA!E44</f>
        <v>Implemented</v>
      </c>
      <c r="E47" s="21"/>
      <c r="F47" s="21"/>
      <c r="G47" s="21"/>
      <c r="H47" s="21" t="s">
        <v>578</v>
      </c>
      <c r="I47" s="21"/>
      <c r="J47" s="21"/>
      <c r="K47" s="21"/>
      <c r="L47" s="21"/>
      <c r="M47" s="21"/>
      <c r="N47" s="21"/>
      <c r="O47" s="21" t="s">
        <v>578</v>
      </c>
      <c r="P47" s="21"/>
      <c r="Q47" s="21"/>
      <c r="R47" s="22" t="n">
        <f aca="false">COUNTIF(E47:Q47,"●")</f>
        <v>2</v>
      </c>
    </row>
    <row r="48" customFormat="false" ht="15" hidden="false" customHeight="false" outlineLevel="0" collapsed="false">
      <c r="A48" s="13" t="s">
        <v>273</v>
      </c>
      <c r="B48" s="13" t="s">
        <v>274</v>
      </c>
      <c r="C48" s="13" t="str">
        <f aca="false">SoA!D45</f>
        <v>Yes</v>
      </c>
      <c r="D48" s="13" t="str">
        <f aca="false">SoA!E45</f>
        <v>Partial</v>
      </c>
      <c r="E48" s="21" t="s">
        <v>578</v>
      </c>
      <c r="F48" s="21" t="s">
        <v>578</v>
      </c>
      <c r="G48" s="21"/>
      <c r="H48" s="21"/>
      <c r="I48" s="21"/>
      <c r="J48" s="21"/>
      <c r="K48" s="21" t="s">
        <v>578</v>
      </c>
      <c r="L48" s="21"/>
      <c r="M48" s="21"/>
      <c r="N48" s="21"/>
      <c r="O48" s="21"/>
      <c r="P48" s="21"/>
      <c r="Q48" s="21"/>
      <c r="R48" s="22" t="n">
        <f aca="false">COUNTIF(E48:Q48,"●")</f>
        <v>3</v>
      </c>
    </row>
    <row r="49" customFormat="false" ht="15" hidden="false" customHeight="false" outlineLevel="0" collapsed="false">
      <c r="A49" s="13" t="s">
        <v>278</v>
      </c>
      <c r="B49" s="13" t="s">
        <v>279</v>
      </c>
      <c r="C49" s="13" t="str">
        <f aca="false">SoA!D46</f>
        <v>Yes</v>
      </c>
      <c r="D49" s="13" t="str">
        <f aca="false">SoA!E46</f>
        <v>Implemented</v>
      </c>
      <c r="E49" s="21"/>
      <c r="F49" s="21" t="s">
        <v>578</v>
      </c>
      <c r="G49" s="21"/>
      <c r="H49" s="21"/>
      <c r="I49" s="21"/>
      <c r="J49" s="21"/>
      <c r="K49" s="21" t="s">
        <v>578</v>
      </c>
      <c r="L49" s="21"/>
      <c r="M49" s="21"/>
      <c r="N49" s="21"/>
      <c r="O49" s="21"/>
      <c r="P49" s="21"/>
      <c r="Q49" s="21"/>
      <c r="R49" s="22" t="n">
        <f aca="false">COUNTIF(E49:Q49,"●")</f>
        <v>2</v>
      </c>
    </row>
    <row r="50" customFormat="false" ht="15" hidden="false" customHeight="false" outlineLevel="0" collapsed="false">
      <c r="A50" s="13" t="s">
        <v>283</v>
      </c>
      <c r="B50" s="13" t="s">
        <v>284</v>
      </c>
      <c r="C50" s="13" t="str">
        <f aca="false">SoA!D47</f>
        <v>No</v>
      </c>
      <c r="D50" s="13" t="str">
        <f aca="false">SoA!E47</f>
        <v>N/A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2" t="n">
        <f aca="false">COUNTIF(E50:Q50,"●")</f>
        <v>0</v>
      </c>
    </row>
    <row r="51" customFormat="false" ht="15" hidden="false" customHeight="false" outlineLevel="0" collapsed="false">
      <c r="A51" s="13" t="s">
        <v>290</v>
      </c>
      <c r="B51" s="13" t="s">
        <v>291</v>
      </c>
      <c r="C51" s="13" t="str">
        <f aca="false">SoA!D48</f>
        <v>No</v>
      </c>
      <c r="D51" s="13" t="str">
        <f aca="false">SoA!E48</f>
        <v>N/A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2" t="n">
        <f aca="false">COUNTIF(E51:Q51,"●")</f>
        <v>0</v>
      </c>
    </row>
    <row r="52" customFormat="false" ht="15" hidden="false" customHeight="false" outlineLevel="0" collapsed="false">
      <c r="A52" s="13" t="s">
        <v>293</v>
      </c>
      <c r="B52" s="13" t="s">
        <v>294</v>
      </c>
      <c r="C52" s="13" t="str">
        <f aca="false">SoA!D49</f>
        <v>No</v>
      </c>
      <c r="D52" s="13" t="str">
        <f aca="false">SoA!E49</f>
        <v>N/A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2" t="n">
        <f aca="false">COUNTIF(E52:Q52,"●")</f>
        <v>0</v>
      </c>
    </row>
    <row r="53" customFormat="false" ht="15" hidden="false" customHeight="false" outlineLevel="0" collapsed="false">
      <c r="A53" s="13" t="s">
        <v>296</v>
      </c>
      <c r="B53" s="13" t="s">
        <v>297</v>
      </c>
      <c r="C53" s="13" t="str">
        <f aca="false">SoA!D50</f>
        <v>No</v>
      </c>
      <c r="D53" s="13" t="str">
        <f aca="false">SoA!E50</f>
        <v>N/A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2" t="n">
        <f aca="false">COUNTIF(E53:Q53,"●")</f>
        <v>0</v>
      </c>
    </row>
    <row r="54" customFormat="false" ht="15" hidden="false" customHeight="false" outlineLevel="0" collapsed="false">
      <c r="A54" s="13" t="s">
        <v>301</v>
      </c>
      <c r="B54" s="13" t="s">
        <v>302</v>
      </c>
      <c r="C54" s="13" t="str">
        <f aca="false">SoA!D51</f>
        <v>No</v>
      </c>
      <c r="D54" s="13" t="str">
        <f aca="false">SoA!E51</f>
        <v>N/A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2" t="n">
        <f aca="false">COUNTIF(E54:Q54,"●")</f>
        <v>0</v>
      </c>
    </row>
    <row r="55" customFormat="false" ht="15" hidden="false" customHeight="false" outlineLevel="0" collapsed="false">
      <c r="A55" s="13" t="s">
        <v>304</v>
      </c>
      <c r="B55" s="13" t="s">
        <v>305</v>
      </c>
      <c r="C55" s="13" t="str">
        <f aca="false">SoA!D52</f>
        <v>No</v>
      </c>
      <c r="D55" s="13" t="str">
        <f aca="false">SoA!E52</f>
        <v>N/A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2" t="n">
        <f aca="false">COUNTIF(E55:Q55,"●")</f>
        <v>0</v>
      </c>
    </row>
    <row r="56" customFormat="false" ht="15" hidden="false" customHeight="false" outlineLevel="0" collapsed="false">
      <c r="A56" s="13" t="s">
        <v>307</v>
      </c>
      <c r="B56" s="13" t="s">
        <v>308</v>
      </c>
      <c r="C56" s="13" t="str">
        <f aca="false">SoA!D53</f>
        <v>Yes</v>
      </c>
      <c r="D56" s="13" t="str">
        <f aca="false">SoA!E53</f>
        <v>Partial</v>
      </c>
      <c r="E56" s="21" t="s">
        <v>578</v>
      </c>
      <c r="F56" s="21" t="s">
        <v>578</v>
      </c>
      <c r="G56" s="21"/>
      <c r="H56" s="21"/>
      <c r="I56" s="21"/>
      <c r="J56" s="21"/>
      <c r="K56" s="21" t="s">
        <v>578</v>
      </c>
      <c r="L56" s="21"/>
      <c r="M56" s="21"/>
      <c r="N56" s="21"/>
      <c r="O56" s="21"/>
      <c r="P56" s="21"/>
      <c r="Q56" s="21"/>
      <c r="R56" s="22" t="n">
        <f aca="false">COUNTIF(E56:Q56,"●")</f>
        <v>3</v>
      </c>
    </row>
    <row r="57" customFormat="false" ht="15" hidden="false" customHeight="false" outlineLevel="0" collapsed="false">
      <c r="A57" s="13" t="s">
        <v>310</v>
      </c>
      <c r="B57" s="13" t="s">
        <v>311</v>
      </c>
      <c r="C57" s="13" t="str">
        <f aca="false">SoA!D54</f>
        <v>No</v>
      </c>
      <c r="D57" s="13" t="str">
        <f aca="false">SoA!E54</f>
        <v>N/A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2" t="n">
        <f aca="false">COUNTIF(E57:Q57,"●")</f>
        <v>0</v>
      </c>
    </row>
    <row r="58" customFormat="false" ht="15" hidden="false" customHeight="false" outlineLevel="0" collapsed="false">
      <c r="A58" s="13" t="s">
        <v>315</v>
      </c>
      <c r="B58" s="13" t="s">
        <v>316</v>
      </c>
      <c r="C58" s="13" t="str">
        <f aca="false">SoA!D55</f>
        <v>Yes</v>
      </c>
      <c r="D58" s="13" t="str">
        <f aca="false">SoA!E55</f>
        <v>Implemented</v>
      </c>
      <c r="E58" s="21"/>
      <c r="F58" s="21" t="s">
        <v>578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2" t="n">
        <f aca="false">COUNTIF(E58:Q58,"●")</f>
        <v>1</v>
      </c>
    </row>
    <row r="59" customFormat="false" ht="15" hidden="false" customHeight="false" outlineLevel="0" collapsed="false">
      <c r="A59" s="13" t="s">
        <v>319</v>
      </c>
      <c r="B59" s="13" t="s">
        <v>320</v>
      </c>
      <c r="C59" s="13" t="str">
        <f aca="false">SoA!D56</f>
        <v>Yes</v>
      </c>
      <c r="D59" s="13" t="str">
        <f aca="false">SoA!E56</f>
        <v>Partial</v>
      </c>
      <c r="E59" s="21"/>
      <c r="F59" s="21" t="s">
        <v>578</v>
      </c>
      <c r="G59" s="21"/>
      <c r="H59" s="21" t="s">
        <v>578</v>
      </c>
      <c r="I59" s="21"/>
      <c r="J59" s="21"/>
      <c r="K59" s="21"/>
      <c r="L59" s="21"/>
      <c r="M59" s="21"/>
      <c r="N59" s="21"/>
      <c r="O59" s="21"/>
      <c r="P59" s="21"/>
      <c r="Q59" s="21"/>
      <c r="R59" s="22" t="n">
        <f aca="false">COUNTIF(E59:Q59,"●")</f>
        <v>2</v>
      </c>
    </row>
    <row r="60" customFormat="false" ht="15" hidden="false" customHeight="false" outlineLevel="0" collapsed="false">
      <c r="A60" s="13" t="s">
        <v>322</v>
      </c>
      <c r="B60" s="13" t="s">
        <v>323</v>
      </c>
      <c r="C60" s="13" t="str">
        <f aca="false">SoA!D57</f>
        <v>No</v>
      </c>
      <c r="D60" s="13" t="str">
        <f aca="false">SoA!E57</f>
        <v>N/A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2" t="n">
        <f aca="false">COUNTIF(E60:Q60,"●")</f>
        <v>0</v>
      </c>
    </row>
    <row r="61" customFormat="false" ht="15" hidden="false" customHeight="false" outlineLevel="0" collapsed="false">
      <c r="A61" s="13" t="s">
        <v>325</v>
      </c>
      <c r="B61" s="13" t="s">
        <v>326</v>
      </c>
      <c r="C61" s="13" t="str">
        <f aca="false">SoA!D58</f>
        <v>No</v>
      </c>
      <c r="D61" s="13" t="str">
        <f aca="false">SoA!E58</f>
        <v>N/A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2" t="n">
        <f aca="false">COUNTIF(E61:Q61,"●")</f>
        <v>0</v>
      </c>
    </row>
    <row r="62" customFormat="false" ht="15" hidden="false" customHeight="false" outlineLevel="0" collapsed="false">
      <c r="A62" s="13" t="s">
        <v>328</v>
      </c>
      <c r="B62" s="13" t="s">
        <v>329</v>
      </c>
      <c r="C62" s="13" t="str">
        <f aca="false">SoA!D59</f>
        <v>Yes</v>
      </c>
      <c r="D62" s="13" t="str">
        <f aca="false">SoA!E59</f>
        <v>Partial</v>
      </c>
      <c r="E62" s="21"/>
      <c r="F62" s="21" t="s">
        <v>578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2" t="n">
        <f aca="false">COUNTIF(E62:Q62,"●")</f>
        <v>1</v>
      </c>
    </row>
    <row r="63" customFormat="false" ht="15" hidden="false" customHeight="false" outlineLevel="0" collapsed="false">
      <c r="A63" s="13" t="s">
        <v>331</v>
      </c>
      <c r="B63" s="13" t="s">
        <v>332</v>
      </c>
      <c r="C63" s="13" t="str">
        <f aca="false">SoA!D60</f>
        <v>Yes</v>
      </c>
      <c r="D63" s="13" t="str">
        <f aca="false">SoA!E60</f>
        <v>Partial</v>
      </c>
      <c r="E63" s="21"/>
      <c r="F63" s="21" t="s">
        <v>578</v>
      </c>
      <c r="G63" s="21"/>
      <c r="H63" s="21"/>
      <c r="I63" s="21"/>
      <c r="J63" s="21"/>
      <c r="K63" s="21"/>
      <c r="L63" s="21"/>
      <c r="M63" s="21"/>
      <c r="N63" s="21"/>
      <c r="O63" s="21" t="s">
        <v>578</v>
      </c>
      <c r="P63" s="21" t="s">
        <v>578</v>
      </c>
      <c r="Q63" s="21"/>
      <c r="R63" s="22" t="n">
        <f aca="false">COUNTIF(E63:Q63,"●")</f>
        <v>3</v>
      </c>
    </row>
    <row r="64" customFormat="false" ht="15" hidden="false" customHeight="false" outlineLevel="0" collapsed="false">
      <c r="A64" s="13" t="s">
        <v>336</v>
      </c>
      <c r="B64" s="13" t="s">
        <v>337</v>
      </c>
      <c r="C64" s="13" t="str">
        <f aca="false">SoA!D61</f>
        <v>Yes</v>
      </c>
      <c r="D64" s="13" t="str">
        <f aca="false">SoA!E61</f>
        <v>Implemented</v>
      </c>
      <c r="E64" s="21" t="s">
        <v>578</v>
      </c>
      <c r="F64" s="21" t="s">
        <v>578</v>
      </c>
      <c r="G64" s="21"/>
      <c r="H64" s="21"/>
      <c r="I64" s="21"/>
      <c r="J64" s="21"/>
      <c r="K64" s="21" t="s">
        <v>578</v>
      </c>
      <c r="L64" s="21"/>
      <c r="M64" s="21"/>
      <c r="N64" s="21"/>
      <c r="O64" s="21"/>
      <c r="P64" s="21"/>
      <c r="Q64" s="21"/>
      <c r="R64" s="22" t="n">
        <f aca="false">COUNTIF(E64:Q64,"●")</f>
        <v>3</v>
      </c>
    </row>
    <row r="65" customFormat="false" ht="15" hidden="false" customHeight="false" outlineLevel="0" collapsed="false">
      <c r="A65" s="13" t="s">
        <v>340</v>
      </c>
      <c r="B65" s="13" t="s">
        <v>341</v>
      </c>
      <c r="C65" s="13" t="str">
        <f aca="false">SoA!D62</f>
        <v>Yes</v>
      </c>
      <c r="D65" s="13" t="str">
        <f aca="false">SoA!E62</f>
        <v>Partial</v>
      </c>
      <c r="E65" s="21" t="s">
        <v>578</v>
      </c>
      <c r="F65" s="21"/>
      <c r="G65" s="21" t="s">
        <v>578</v>
      </c>
      <c r="H65" s="21" t="s">
        <v>578</v>
      </c>
      <c r="I65" s="21"/>
      <c r="J65" s="21"/>
      <c r="K65" s="21"/>
      <c r="L65" s="21"/>
      <c r="M65" s="21"/>
      <c r="N65" s="21"/>
      <c r="O65" s="21"/>
      <c r="P65" s="21"/>
      <c r="Q65" s="21"/>
      <c r="R65" s="22" t="n">
        <f aca="false">COUNTIF(E65:Q65,"●")</f>
        <v>3</v>
      </c>
    </row>
    <row r="66" customFormat="false" ht="15" hidden="false" customHeight="false" outlineLevel="0" collapsed="false">
      <c r="A66" s="13" t="s">
        <v>344</v>
      </c>
      <c r="B66" s="13" t="s">
        <v>345</v>
      </c>
      <c r="C66" s="13" t="str">
        <f aca="false">SoA!D63</f>
        <v>Yes</v>
      </c>
      <c r="D66" s="13" t="str">
        <f aca="false">SoA!E63</f>
        <v>Implemented</v>
      </c>
      <c r="E66" s="21" t="s">
        <v>578</v>
      </c>
      <c r="F66" s="21"/>
      <c r="G66" s="21"/>
      <c r="H66" s="21" t="s">
        <v>578</v>
      </c>
      <c r="I66" s="21"/>
      <c r="J66" s="21"/>
      <c r="K66" s="21"/>
      <c r="L66" s="21"/>
      <c r="M66" s="21"/>
      <c r="N66" s="21"/>
      <c r="O66" s="21"/>
      <c r="P66" s="21"/>
      <c r="Q66" s="21"/>
      <c r="R66" s="22" t="n">
        <f aca="false">COUNTIF(E66:Q66,"●")</f>
        <v>2</v>
      </c>
    </row>
    <row r="67" customFormat="false" ht="15" hidden="false" customHeight="false" outlineLevel="0" collapsed="false">
      <c r="A67" s="13" t="s">
        <v>348</v>
      </c>
      <c r="B67" s="13" t="s">
        <v>349</v>
      </c>
      <c r="C67" s="13" t="str">
        <f aca="false">SoA!D64</f>
        <v>Yes</v>
      </c>
      <c r="D67" s="13" t="str">
        <f aca="false">SoA!E64</f>
        <v>Implemented</v>
      </c>
      <c r="E67" s="21"/>
      <c r="F67" s="21"/>
      <c r="G67" s="21"/>
      <c r="H67" s="21" t="s">
        <v>578</v>
      </c>
      <c r="I67" s="21"/>
      <c r="J67" s="21"/>
      <c r="K67" s="21"/>
      <c r="L67" s="21"/>
      <c r="M67" s="21" t="s">
        <v>578</v>
      </c>
      <c r="N67" s="21" t="s">
        <v>578</v>
      </c>
      <c r="O67" s="21"/>
      <c r="P67" s="21"/>
      <c r="Q67" s="21"/>
      <c r="R67" s="22" t="n">
        <f aca="false">COUNTIF(E67:Q67,"●")</f>
        <v>3</v>
      </c>
    </row>
    <row r="68" customFormat="false" ht="15" hidden="false" customHeight="false" outlineLevel="0" collapsed="false">
      <c r="A68" s="13" t="s">
        <v>353</v>
      </c>
      <c r="B68" s="13" t="s">
        <v>354</v>
      </c>
      <c r="C68" s="13" t="str">
        <f aca="false">SoA!D65</f>
        <v>Yes</v>
      </c>
      <c r="D68" s="13" t="str">
        <f aca="false">SoA!E65</f>
        <v>Implemented</v>
      </c>
      <c r="E68" s="21" t="s">
        <v>578</v>
      </c>
      <c r="F68" s="21"/>
      <c r="G68" s="21"/>
      <c r="H68" s="21"/>
      <c r="I68" s="21"/>
      <c r="J68" s="21"/>
      <c r="K68" s="21" t="s">
        <v>578</v>
      </c>
      <c r="L68" s="21"/>
      <c r="M68" s="21"/>
      <c r="N68" s="21"/>
      <c r="O68" s="21"/>
      <c r="P68" s="21"/>
      <c r="Q68" s="21" t="s">
        <v>578</v>
      </c>
      <c r="R68" s="22" t="n">
        <f aca="false">COUNTIF(E68:Q68,"●")</f>
        <v>3</v>
      </c>
    </row>
    <row r="69" customFormat="false" ht="15" hidden="false" customHeight="false" outlineLevel="0" collapsed="false">
      <c r="A69" s="13" t="s">
        <v>358</v>
      </c>
      <c r="B69" s="13" t="s">
        <v>359</v>
      </c>
      <c r="C69" s="13" t="str">
        <f aca="false">SoA!D66</f>
        <v>Yes</v>
      </c>
      <c r="D69" s="13" t="str">
        <f aca="false">SoA!E66</f>
        <v>Partial</v>
      </c>
      <c r="E69" s="21"/>
      <c r="F69" s="21"/>
      <c r="G69" s="21"/>
      <c r="H69" s="21"/>
      <c r="I69" s="21"/>
      <c r="J69" s="21" t="s">
        <v>578</v>
      </c>
      <c r="K69" s="21"/>
      <c r="L69" s="21"/>
      <c r="M69" s="21"/>
      <c r="N69" s="21"/>
      <c r="O69" s="21"/>
      <c r="P69" s="21"/>
      <c r="Q69" s="21" t="s">
        <v>578</v>
      </c>
      <c r="R69" s="22" t="n">
        <f aca="false">COUNTIF(E69:Q69,"●")</f>
        <v>2</v>
      </c>
    </row>
    <row r="70" customFormat="false" ht="15" hidden="false" customHeight="false" outlineLevel="0" collapsed="false">
      <c r="A70" s="13" t="s">
        <v>363</v>
      </c>
      <c r="B70" s="13" t="s">
        <v>364</v>
      </c>
      <c r="C70" s="13" t="str">
        <f aca="false">SoA!D67</f>
        <v>Yes</v>
      </c>
      <c r="D70" s="13" t="str">
        <f aca="false">SoA!E67</f>
        <v>Implemented</v>
      </c>
      <c r="E70" s="21"/>
      <c r="F70" s="21"/>
      <c r="G70" s="21"/>
      <c r="H70" s="21"/>
      <c r="I70" s="21"/>
      <c r="J70" s="21"/>
      <c r="K70" s="21" t="s">
        <v>578</v>
      </c>
      <c r="L70" s="21" t="s">
        <v>578</v>
      </c>
      <c r="M70" s="21"/>
      <c r="N70" s="21"/>
      <c r="O70" s="21"/>
      <c r="P70" s="21"/>
      <c r="Q70" s="21"/>
      <c r="R70" s="22" t="n">
        <f aca="false">COUNTIF(E70:Q70,"●")</f>
        <v>2</v>
      </c>
    </row>
    <row r="71" customFormat="false" ht="15" hidden="false" customHeight="false" outlineLevel="0" collapsed="false">
      <c r="A71" s="13" t="s">
        <v>367</v>
      </c>
      <c r="B71" s="13" t="s">
        <v>368</v>
      </c>
      <c r="C71" s="13" t="str">
        <f aca="false">SoA!D68</f>
        <v>Yes</v>
      </c>
      <c r="D71" s="13" t="str">
        <f aca="false">SoA!E68</f>
        <v>Partial</v>
      </c>
      <c r="E71" s="21"/>
      <c r="F71" s="21"/>
      <c r="G71" s="21" t="s">
        <v>578</v>
      </c>
      <c r="H71" s="21"/>
      <c r="I71" s="21"/>
      <c r="J71" s="21"/>
      <c r="K71" s="21"/>
      <c r="L71" s="21" t="s">
        <v>578</v>
      </c>
      <c r="M71" s="21" t="s">
        <v>578</v>
      </c>
      <c r="N71" s="21"/>
      <c r="O71" s="21"/>
      <c r="P71" s="21"/>
      <c r="Q71" s="21"/>
      <c r="R71" s="22" t="n">
        <f aca="false">COUNTIF(E71:Q71,"●")</f>
        <v>3</v>
      </c>
    </row>
    <row r="72" customFormat="false" ht="15" hidden="false" customHeight="false" outlineLevel="0" collapsed="false">
      <c r="A72" s="13" t="s">
        <v>373</v>
      </c>
      <c r="B72" s="13" t="s">
        <v>374</v>
      </c>
      <c r="C72" s="13" t="str">
        <f aca="false">SoA!D69</f>
        <v>Yes</v>
      </c>
      <c r="D72" s="13" t="str">
        <f aca="false">SoA!E69</f>
        <v>Partial</v>
      </c>
      <c r="E72" s="21"/>
      <c r="F72" s="21"/>
      <c r="G72" s="21" t="s">
        <v>578</v>
      </c>
      <c r="H72" s="21"/>
      <c r="I72" s="21"/>
      <c r="J72" s="21"/>
      <c r="K72" s="21"/>
      <c r="L72" s="21"/>
      <c r="M72" s="21"/>
      <c r="N72" s="21" t="s">
        <v>578</v>
      </c>
      <c r="O72" s="21"/>
      <c r="P72" s="21"/>
      <c r="Q72" s="21"/>
      <c r="R72" s="22" t="n">
        <f aca="false">COUNTIF(E72:Q72,"●")</f>
        <v>2</v>
      </c>
    </row>
    <row r="73" customFormat="false" ht="15" hidden="false" customHeight="false" outlineLevel="0" collapsed="false">
      <c r="A73" s="13" t="s">
        <v>379</v>
      </c>
      <c r="B73" s="13" t="s">
        <v>380</v>
      </c>
      <c r="C73" s="13" t="str">
        <f aca="false">SoA!D70</f>
        <v>Yes</v>
      </c>
      <c r="D73" s="13" t="str">
        <f aca="false">SoA!E70</f>
        <v>Partial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 t="s">
        <v>578</v>
      </c>
      <c r="P73" s="21" t="s">
        <v>578</v>
      </c>
      <c r="Q73" s="21"/>
      <c r="R73" s="22" t="n">
        <f aca="false">COUNTIF(E73:Q73,"●")</f>
        <v>2</v>
      </c>
    </row>
    <row r="74" customFormat="false" ht="15" hidden="false" customHeight="false" outlineLevel="0" collapsed="false">
      <c r="A74" s="13" t="s">
        <v>383</v>
      </c>
      <c r="B74" s="13" t="s">
        <v>384</v>
      </c>
      <c r="C74" s="13" t="str">
        <f aca="false">SoA!D71</f>
        <v>Yes</v>
      </c>
      <c r="D74" s="13" t="str">
        <f aca="false">SoA!E71</f>
        <v>Planned</v>
      </c>
      <c r="E74" s="21" t="s">
        <v>578</v>
      </c>
      <c r="F74" s="21"/>
      <c r="G74" s="21"/>
      <c r="H74" s="21"/>
      <c r="I74" s="21"/>
      <c r="J74" s="21"/>
      <c r="K74" s="21"/>
      <c r="L74" s="21"/>
      <c r="M74" s="21"/>
      <c r="N74" s="21"/>
      <c r="O74" s="21" t="s">
        <v>578</v>
      </c>
      <c r="P74" s="21"/>
      <c r="Q74" s="21"/>
      <c r="R74" s="22" t="n">
        <f aca="false">COUNTIF(E74:Q74,"●")</f>
        <v>2</v>
      </c>
    </row>
    <row r="75" customFormat="false" ht="15" hidden="false" customHeight="false" outlineLevel="0" collapsed="false">
      <c r="A75" s="13" t="s">
        <v>388</v>
      </c>
      <c r="B75" s="13" t="s">
        <v>389</v>
      </c>
      <c r="C75" s="13" t="str">
        <f aca="false">SoA!D72</f>
        <v>Yes</v>
      </c>
      <c r="D75" s="13" t="str">
        <f aca="false">SoA!E72</f>
        <v>Planned</v>
      </c>
      <c r="E75" s="21" t="s">
        <v>578</v>
      </c>
      <c r="F75" s="21"/>
      <c r="G75" s="21" t="s">
        <v>578</v>
      </c>
      <c r="H75" s="21" t="s">
        <v>578</v>
      </c>
      <c r="I75" s="21"/>
      <c r="J75" s="21"/>
      <c r="K75" s="21"/>
      <c r="L75" s="21"/>
      <c r="M75" s="21"/>
      <c r="N75" s="21"/>
      <c r="O75" s="21"/>
      <c r="P75" s="21"/>
      <c r="Q75" s="21"/>
      <c r="R75" s="22" t="n">
        <f aca="false">COUNTIF(E75:Q75,"●")</f>
        <v>3</v>
      </c>
    </row>
    <row r="76" customFormat="false" ht="15" hidden="false" customHeight="false" outlineLevel="0" collapsed="false">
      <c r="A76" s="13" t="s">
        <v>393</v>
      </c>
      <c r="B76" s="13" t="s">
        <v>394</v>
      </c>
      <c r="C76" s="13" t="str">
        <f aca="false">SoA!D73</f>
        <v>Yes</v>
      </c>
      <c r="D76" s="13" t="str">
        <f aca="false">SoA!E73</f>
        <v>Partial</v>
      </c>
      <c r="E76" s="21"/>
      <c r="F76" s="21"/>
      <c r="G76" s="21"/>
      <c r="H76" s="21"/>
      <c r="I76" s="21"/>
      <c r="J76" s="21" t="s">
        <v>578</v>
      </c>
      <c r="K76" s="21"/>
      <c r="L76" s="21" t="s">
        <v>578</v>
      </c>
      <c r="M76" s="21"/>
      <c r="N76" s="21"/>
      <c r="O76" s="21"/>
      <c r="P76" s="21" t="s">
        <v>578</v>
      </c>
      <c r="Q76" s="21"/>
      <c r="R76" s="22" t="n">
        <f aca="false">COUNTIF(E76:Q76,"●")</f>
        <v>3</v>
      </c>
    </row>
    <row r="77" customFormat="false" ht="15" hidden="false" customHeight="false" outlineLevel="0" collapsed="false">
      <c r="A77" s="13" t="s">
        <v>398</v>
      </c>
      <c r="B77" s="13" t="s">
        <v>399</v>
      </c>
      <c r="C77" s="13" t="str">
        <f aca="false">SoA!D74</f>
        <v>Yes</v>
      </c>
      <c r="D77" s="13" t="str">
        <f aca="false">SoA!E74</f>
        <v>Implemented</v>
      </c>
      <c r="E77" s="21"/>
      <c r="F77" s="21"/>
      <c r="G77" s="21"/>
      <c r="H77" s="21"/>
      <c r="I77" s="21" t="s">
        <v>578</v>
      </c>
      <c r="J77" s="21" t="s">
        <v>578</v>
      </c>
      <c r="K77" s="21"/>
      <c r="L77" s="21" t="s">
        <v>578</v>
      </c>
      <c r="M77" s="21"/>
      <c r="N77" s="21"/>
      <c r="O77" s="21"/>
      <c r="P77" s="21"/>
      <c r="Q77" s="21"/>
      <c r="R77" s="22" t="n">
        <f aca="false">COUNTIF(E77:Q77,"●")</f>
        <v>3</v>
      </c>
    </row>
    <row r="78" customFormat="false" ht="15" hidden="false" customHeight="false" outlineLevel="0" collapsed="false">
      <c r="A78" s="13" t="s">
        <v>402</v>
      </c>
      <c r="B78" s="13" t="s">
        <v>403</v>
      </c>
      <c r="C78" s="13" t="str">
        <f aca="false">SoA!D75</f>
        <v>Yes</v>
      </c>
      <c r="D78" s="13" t="str">
        <f aca="false">SoA!E75</f>
        <v>Implemented</v>
      </c>
      <c r="E78" s="21" t="s">
        <v>578</v>
      </c>
      <c r="F78" s="21"/>
      <c r="G78" s="21" t="s">
        <v>578</v>
      </c>
      <c r="H78" s="21" t="s">
        <v>578</v>
      </c>
      <c r="I78" s="21"/>
      <c r="J78" s="21"/>
      <c r="K78" s="21"/>
      <c r="L78" s="21"/>
      <c r="M78" s="21"/>
      <c r="N78" s="21"/>
      <c r="O78" s="21"/>
      <c r="P78" s="21"/>
      <c r="Q78" s="21" t="s">
        <v>578</v>
      </c>
      <c r="R78" s="22" t="n">
        <f aca="false">COUNTIF(E78:Q78,"●")</f>
        <v>4</v>
      </c>
    </row>
    <row r="79" customFormat="false" ht="15" hidden="false" customHeight="false" outlineLevel="0" collapsed="false">
      <c r="A79" s="13" t="s">
        <v>407</v>
      </c>
      <c r="B79" s="13" t="s">
        <v>408</v>
      </c>
      <c r="C79" s="13" t="str">
        <f aca="false">SoA!D76</f>
        <v>Yes</v>
      </c>
      <c r="D79" s="13" t="str">
        <f aca="false">SoA!E76</f>
        <v>Partial</v>
      </c>
      <c r="E79" s="21" t="s">
        <v>578</v>
      </c>
      <c r="F79" s="21"/>
      <c r="G79" s="21" t="s">
        <v>578</v>
      </c>
      <c r="H79" s="21" t="s">
        <v>578</v>
      </c>
      <c r="I79" s="21"/>
      <c r="J79" s="21"/>
      <c r="K79" s="21" t="s">
        <v>578</v>
      </c>
      <c r="L79" s="21"/>
      <c r="M79" s="21"/>
      <c r="N79" s="21"/>
      <c r="O79" s="21"/>
      <c r="P79" s="21"/>
      <c r="Q79" s="21"/>
      <c r="R79" s="22" t="n">
        <f aca="false">COUNTIF(E79:Q79,"●")</f>
        <v>4</v>
      </c>
    </row>
    <row r="80" customFormat="false" ht="15" hidden="false" customHeight="false" outlineLevel="0" collapsed="false">
      <c r="A80" s="13" t="s">
        <v>412</v>
      </c>
      <c r="B80" s="13" t="s">
        <v>413</v>
      </c>
      <c r="C80" s="13" t="str">
        <f aca="false">SoA!D77</f>
        <v>Yes</v>
      </c>
      <c r="D80" s="13" t="str">
        <f aca="false">SoA!E77</f>
        <v>Implemented</v>
      </c>
      <c r="E80" s="21" t="s">
        <v>578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2" t="n">
        <f aca="false">COUNTIF(E80:Q80,"●")</f>
        <v>1</v>
      </c>
    </row>
    <row r="81" customFormat="false" ht="15" hidden="false" customHeight="false" outlineLevel="0" collapsed="false">
      <c r="A81" s="13" t="s">
        <v>417</v>
      </c>
      <c r="B81" s="13" t="s">
        <v>418</v>
      </c>
      <c r="C81" s="13" t="str">
        <f aca="false">SoA!D78</f>
        <v>Yes</v>
      </c>
      <c r="D81" s="13" t="str">
        <f aca="false">SoA!E78</f>
        <v>Partial</v>
      </c>
      <c r="E81" s="21" t="s">
        <v>578</v>
      </c>
      <c r="F81" s="21"/>
      <c r="G81" s="21"/>
      <c r="H81" s="21" t="s">
        <v>578</v>
      </c>
      <c r="I81" s="21"/>
      <c r="J81" s="21"/>
      <c r="K81" s="21"/>
      <c r="L81" s="21"/>
      <c r="M81" s="21"/>
      <c r="N81" s="21"/>
      <c r="O81" s="21"/>
      <c r="P81" s="21"/>
      <c r="Q81" s="21"/>
      <c r="R81" s="22" t="n">
        <f aca="false">COUNTIF(E81:Q81,"●")</f>
        <v>2</v>
      </c>
    </row>
    <row r="82" customFormat="false" ht="15" hidden="false" customHeight="false" outlineLevel="0" collapsed="false">
      <c r="A82" s="13" t="s">
        <v>421</v>
      </c>
      <c r="B82" s="13" t="s">
        <v>422</v>
      </c>
      <c r="C82" s="13" t="str">
        <f aca="false">SoA!D79</f>
        <v>Yes</v>
      </c>
      <c r="D82" s="13" t="str">
        <f aca="false">SoA!E79</f>
        <v>Implemented</v>
      </c>
      <c r="E82" s="21"/>
      <c r="F82" s="21"/>
      <c r="G82" s="21" t="s">
        <v>578</v>
      </c>
      <c r="H82" s="21"/>
      <c r="I82" s="21"/>
      <c r="J82" s="21"/>
      <c r="K82" s="21"/>
      <c r="L82" s="21"/>
      <c r="M82" s="21" t="s">
        <v>578</v>
      </c>
      <c r="N82" s="21" t="s">
        <v>578</v>
      </c>
      <c r="O82" s="21"/>
      <c r="P82" s="21"/>
      <c r="Q82" s="21"/>
      <c r="R82" s="22" t="n">
        <f aca="false">COUNTIF(E82:Q82,"●")</f>
        <v>3</v>
      </c>
    </row>
    <row r="83" customFormat="false" ht="15" hidden="false" customHeight="false" outlineLevel="0" collapsed="false">
      <c r="A83" s="13" t="s">
        <v>426</v>
      </c>
      <c r="B83" s="13" t="s">
        <v>427</v>
      </c>
      <c r="C83" s="13" t="str">
        <f aca="false">SoA!D80</f>
        <v>Yes</v>
      </c>
      <c r="D83" s="13" t="str">
        <f aca="false">SoA!E80</f>
        <v>Implemented</v>
      </c>
      <c r="E83" s="21" t="s">
        <v>578</v>
      </c>
      <c r="F83" s="21"/>
      <c r="G83" s="21" t="s">
        <v>578</v>
      </c>
      <c r="H83" s="21"/>
      <c r="I83" s="21"/>
      <c r="J83" s="21"/>
      <c r="K83" s="21"/>
      <c r="L83" s="21"/>
      <c r="M83" s="21"/>
      <c r="N83" s="21"/>
      <c r="O83" s="21"/>
      <c r="P83" s="21"/>
      <c r="Q83" s="21" t="s">
        <v>578</v>
      </c>
      <c r="R83" s="22" t="n">
        <f aca="false">COUNTIF(E83:Q83,"●")</f>
        <v>3</v>
      </c>
    </row>
    <row r="84" customFormat="false" ht="15" hidden="false" customHeight="false" outlineLevel="0" collapsed="false">
      <c r="A84" s="13" t="s">
        <v>431</v>
      </c>
      <c r="B84" s="13" t="s">
        <v>432</v>
      </c>
      <c r="C84" s="13" t="str">
        <f aca="false">SoA!D81</f>
        <v>Yes</v>
      </c>
      <c r="D84" s="13" t="str">
        <f aca="false">SoA!E81</f>
        <v>Partial</v>
      </c>
      <c r="E84" s="21"/>
      <c r="F84" s="21"/>
      <c r="G84" s="21"/>
      <c r="H84" s="21"/>
      <c r="I84" s="21" t="s">
        <v>578</v>
      </c>
      <c r="J84" s="21"/>
      <c r="K84" s="21"/>
      <c r="L84" s="21"/>
      <c r="M84" s="21"/>
      <c r="N84" s="21"/>
      <c r="O84" s="21"/>
      <c r="P84" s="21"/>
      <c r="Q84" s="21" t="s">
        <v>578</v>
      </c>
      <c r="R84" s="22" t="n">
        <f aca="false">COUNTIF(E84:Q84,"●")</f>
        <v>2</v>
      </c>
    </row>
    <row r="85" customFormat="false" ht="15" hidden="false" customHeight="false" outlineLevel="0" collapsed="false">
      <c r="A85" s="13" t="s">
        <v>436</v>
      </c>
      <c r="B85" s="13" t="s">
        <v>437</v>
      </c>
      <c r="C85" s="13" t="str">
        <f aca="false">SoA!D82</f>
        <v>Yes</v>
      </c>
      <c r="D85" s="13" t="str">
        <f aca="false">SoA!E82</f>
        <v>Implemented</v>
      </c>
      <c r="E85" s="21" t="s">
        <v>578</v>
      </c>
      <c r="F85" s="21"/>
      <c r="G85" s="21" t="s">
        <v>578</v>
      </c>
      <c r="H85" s="21"/>
      <c r="I85" s="21"/>
      <c r="J85" s="21"/>
      <c r="K85" s="21"/>
      <c r="L85" s="21" t="s">
        <v>578</v>
      </c>
      <c r="M85" s="21"/>
      <c r="N85" s="21"/>
      <c r="O85" s="21"/>
      <c r="P85" s="21"/>
      <c r="Q85" s="21"/>
      <c r="R85" s="22" t="n">
        <f aca="false">COUNTIF(E85:Q85,"●")</f>
        <v>3</v>
      </c>
    </row>
    <row r="86" customFormat="false" ht="15" hidden="false" customHeight="false" outlineLevel="0" collapsed="false">
      <c r="A86" s="13" t="s">
        <v>441</v>
      </c>
      <c r="B86" s="13" t="s">
        <v>442</v>
      </c>
      <c r="C86" s="13" t="str">
        <f aca="false">SoA!D83</f>
        <v>Yes</v>
      </c>
      <c r="D86" s="13" t="str">
        <f aca="false">SoA!E83</f>
        <v>Planned</v>
      </c>
      <c r="E86" s="21"/>
      <c r="F86" s="21"/>
      <c r="G86" s="21"/>
      <c r="H86" s="21"/>
      <c r="I86" s="21"/>
      <c r="J86" s="21"/>
      <c r="K86" s="21" t="s">
        <v>578</v>
      </c>
      <c r="L86" s="21"/>
      <c r="M86" s="21"/>
      <c r="N86" s="21"/>
      <c r="O86" s="21"/>
      <c r="P86" s="21"/>
      <c r="Q86" s="21"/>
      <c r="R86" s="22" t="n">
        <f aca="false">COUNTIF(E86:Q86,"●")</f>
        <v>1</v>
      </c>
    </row>
    <row r="87" customFormat="false" ht="15" hidden="false" customHeight="false" outlineLevel="0" collapsed="false">
      <c r="A87" s="13" t="s">
        <v>446</v>
      </c>
      <c r="B87" s="13" t="s">
        <v>447</v>
      </c>
      <c r="C87" s="13" t="str">
        <f aca="false">SoA!D84</f>
        <v>Yes</v>
      </c>
      <c r="D87" s="13" t="str">
        <f aca="false">SoA!E84</f>
        <v>Implemented</v>
      </c>
      <c r="E87" s="21" t="s">
        <v>578</v>
      </c>
      <c r="F87" s="21" t="s">
        <v>578</v>
      </c>
      <c r="G87" s="21"/>
      <c r="H87" s="21"/>
      <c r="I87" s="21" t="s">
        <v>578</v>
      </c>
      <c r="J87" s="21"/>
      <c r="K87" s="21"/>
      <c r="L87" s="21"/>
      <c r="M87" s="21"/>
      <c r="N87" s="21"/>
      <c r="O87" s="21"/>
      <c r="P87" s="21"/>
      <c r="Q87" s="21"/>
      <c r="R87" s="22" t="n">
        <f aca="false">COUNTIF(E87:Q87,"●")</f>
        <v>3</v>
      </c>
    </row>
    <row r="88" customFormat="false" ht="15" hidden="false" customHeight="false" outlineLevel="0" collapsed="false">
      <c r="A88" s="13" t="s">
        <v>451</v>
      </c>
      <c r="B88" s="13" t="s">
        <v>452</v>
      </c>
      <c r="C88" s="13" t="str">
        <f aca="false">SoA!D85</f>
        <v>Yes</v>
      </c>
      <c r="D88" s="13" t="str">
        <f aca="false">SoA!E85</f>
        <v>Implemented</v>
      </c>
      <c r="E88" s="21"/>
      <c r="F88" s="21"/>
      <c r="G88" s="21" t="s">
        <v>578</v>
      </c>
      <c r="H88" s="21"/>
      <c r="I88" s="21"/>
      <c r="J88" s="21"/>
      <c r="K88" s="21"/>
      <c r="L88" s="21"/>
      <c r="M88" s="21" t="s">
        <v>578</v>
      </c>
      <c r="N88" s="21"/>
      <c r="O88" s="21"/>
      <c r="P88" s="21"/>
      <c r="Q88" s="21" t="s">
        <v>578</v>
      </c>
      <c r="R88" s="22" t="n">
        <f aca="false">COUNTIF(E88:Q88,"●")</f>
        <v>3</v>
      </c>
    </row>
    <row r="89" customFormat="false" ht="15" hidden="false" customHeight="false" outlineLevel="0" collapsed="false">
      <c r="A89" s="13" t="s">
        <v>455</v>
      </c>
      <c r="B89" s="13" t="s">
        <v>456</v>
      </c>
      <c r="C89" s="13" t="str">
        <f aca="false">SoA!D86</f>
        <v>Yes</v>
      </c>
      <c r="D89" s="13" t="str">
        <f aca="false">SoA!E86</f>
        <v>Partial</v>
      </c>
      <c r="E89" s="21" t="s">
        <v>578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 t="s">
        <v>578</v>
      </c>
      <c r="R89" s="22" t="n">
        <f aca="false">COUNTIF(E89:Q89,"●")</f>
        <v>2</v>
      </c>
    </row>
    <row r="90" customFormat="false" ht="15" hidden="false" customHeight="false" outlineLevel="0" collapsed="false">
      <c r="A90" s="13" t="s">
        <v>459</v>
      </c>
      <c r="B90" s="13" t="s">
        <v>460</v>
      </c>
      <c r="C90" s="13" t="str">
        <f aca="false">SoA!D87</f>
        <v>Yes</v>
      </c>
      <c r="D90" s="13" t="str">
        <f aca="false">SoA!E87</f>
        <v>Partial</v>
      </c>
      <c r="E90" s="21"/>
      <c r="F90" s="21"/>
      <c r="G90" s="21" t="s">
        <v>578</v>
      </c>
      <c r="H90" s="21"/>
      <c r="I90" s="21"/>
      <c r="J90" s="21"/>
      <c r="K90" s="21"/>
      <c r="L90" s="21"/>
      <c r="M90" s="21"/>
      <c r="N90" s="21"/>
      <c r="O90" s="21"/>
      <c r="P90" s="21"/>
      <c r="Q90" s="21" t="s">
        <v>578</v>
      </c>
      <c r="R90" s="22" t="n">
        <f aca="false">COUNTIF(E90:Q90,"●")</f>
        <v>2</v>
      </c>
    </row>
    <row r="91" customFormat="false" ht="15" hidden="false" customHeight="false" outlineLevel="0" collapsed="false">
      <c r="A91" s="13" t="s">
        <v>463</v>
      </c>
      <c r="B91" s="13" t="s">
        <v>464</v>
      </c>
      <c r="C91" s="13" t="str">
        <f aca="false">SoA!D88</f>
        <v>Yes</v>
      </c>
      <c r="D91" s="13" t="str">
        <f aca="false">SoA!E88</f>
        <v>Partial</v>
      </c>
      <c r="E91" s="21"/>
      <c r="F91" s="21"/>
      <c r="G91" s="21"/>
      <c r="H91" s="21"/>
      <c r="I91" s="21"/>
      <c r="J91" s="21"/>
      <c r="K91" s="21"/>
      <c r="L91" s="21"/>
      <c r="M91" s="21" t="s">
        <v>578</v>
      </c>
      <c r="N91" s="21" t="s">
        <v>578</v>
      </c>
      <c r="O91" s="21"/>
      <c r="P91" s="21"/>
      <c r="Q91" s="21" t="s">
        <v>578</v>
      </c>
      <c r="R91" s="22" t="n">
        <f aca="false">COUNTIF(E91:Q91,"●")</f>
        <v>3</v>
      </c>
    </row>
    <row r="92" customFormat="false" ht="15" hidden="false" customHeight="false" outlineLevel="0" collapsed="false">
      <c r="A92" s="13" t="s">
        <v>467</v>
      </c>
      <c r="B92" s="13" t="s">
        <v>468</v>
      </c>
      <c r="C92" s="13" t="str">
        <f aca="false">SoA!D89</f>
        <v>Yes</v>
      </c>
      <c r="D92" s="13" t="str">
        <f aca="false">SoA!E89</f>
        <v>Partial</v>
      </c>
      <c r="E92" s="21"/>
      <c r="F92" s="21"/>
      <c r="G92" s="21"/>
      <c r="H92" s="21"/>
      <c r="I92" s="21"/>
      <c r="J92" s="21"/>
      <c r="K92" s="21"/>
      <c r="L92" s="21"/>
      <c r="M92" s="21" t="s">
        <v>578</v>
      </c>
      <c r="N92" s="21" t="s">
        <v>578</v>
      </c>
      <c r="O92" s="21"/>
      <c r="P92" s="21"/>
      <c r="Q92" s="21" t="s">
        <v>578</v>
      </c>
      <c r="R92" s="22" t="n">
        <f aca="false">COUNTIF(E92:Q92,"●")</f>
        <v>3</v>
      </c>
    </row>
    <row r="93" customFormat="false" ht="15" hidden="false" customHeight="false" outlineLevel="0" collapsed="false">
      <c r="A93" s="13" t="s">
        <v>471</v>
      </c>
      <c r="B93" s="13" t="s">
        <v>472</v>
      </c>
      <c r="C93" s="13" t="str">
        <f aca="false">SoA!D90</f>
        <v>No</v>
      </c>
      <c r="D93" s="13" t="str">
        <f aca="false">SoA!E90</f>
        <v>N/A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2" t="n">
        <f aca="false">COUNTIF(E93:Q93,"●")</f>
        <v>0</v>
      </c>
    </row>
    <row r="94" customFormat="false" ht="22.35" hidden="false" customHeight="false" outlineLevel="0" collapsed="false">
      <c r="A94" s="13" t="s">
        <v>475</v>
      </c>
      <c r="B94" s="13" t="s">
        <v>476</v>
      </c>
      <c r="C94" s="13" t="str">
        <f aca="false">SoA!D91</f>
        <v>Yes</v>
      </c>
      <c r="D94" s="13" t="str">
        <f aca="false">SoA!E91</f>
        <v>Implemented</v>
      </c>
      <c r="E94" s="21" t="s">
        <v>578</v>
      </c>
      <c r="F94" s="21"/>
      <c r="G94" s="21" t="s">
        <v>578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2" t="n">
        <f aca="false">COUNTIF(E94:Q94,"●")</f>
        <v>2</v>
      </c>
    </row>
    <row r="95" customFormat="false" ht="15" hidden="false" customHeight="false" outlineLevel="0" collapsed="false">
      <c r="A95" s="13" t="s">
        <v>479</v>
      </c>
      <c r="B95" s="13" t="s">
        <v>480</v>
      </c>
      <c r="C95" s="13" t="str">
        <f aca="false">SoA!D92</f>
        <v>Yes</v>
      </c>
      <c r="D95" s="13" t="str">
        <f aca="false">SoA!E92</f>
        <v>Implemented</v>
      </c>
      <c r="E95" s="21"/>
      <c r="F95" s="21"/>
      <c r="G95" s="21" t="s">
        <v>578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2" t="n">
        <f aca="false">COUNTIF(E95:Q95,"●")</f>
        <v>1</v>
      </c>
    </row>
    <row r="96" customFormat="false" ht="15" hidden="false" customHeight="false" outlineLevel="0" collapsed="false">
      <c r="A96" s="13" t="s">
        <v>483</v>
      </c>
      <c r="B96" s="13" t="s">
        <v>484</v>
      </c>
      <c r="C96" s="13" t="str">
        <f aca="false">SoA!D93</f>
        <v>Yes</v>
      </c>
      <c r="D96" s="13" t="str">
        <f aca="false">SoA!E93</f>
        <v>Planned</v>
      </c>
      <c r="E96" s="21" t="s">
        <v>578</v>
      </c>
      <c r="F96" s="21"/>
      <c r="G96" s="21"/>
      <c r="H96" s="21"/>
      <c r="I96" s="21"/>
      <c r="J96" s="21"/>
      <c r="K96" s="21"/>
      <c r="L96" s="21"/>
      <c r="M96" s="21"/>
      <c r="N96" s="21"/>
      <c r="O96" s="21" t="s">
        <v>578</v>
      </c>
      <c r="P96" s="21"/>
      <c r="Q96" s="21"/>
      <c r="R96" s="22" t="n">
        <f aca="false">COUNTIF(E96:Q96,"●")</f>
        <v>2</v>
      </c>
    </row>
    <row r="97" customFormat="false" ht="15" hidden="false" customHeight="false" outlineLevel="0" collapsed="false">
      <c r="A97" s="13" t="s">
        <v>487</v>
      </c>
      <c r="B97" s="13" t="s">
        <v>488</v>
      </c>
      <c r="C97" s="13" t="str">
        <f aca="false">SoA!D94</f>
        <v>Yes</v>
      </c>
      <c r="D97" s="13" t="str">
        <f aca="false">SoA!E94</f>
        <v>Planned</v>
      </c>
      <c r="E97" s="21"/>
      <c r="F97" s="21"/>
      <c r="G97" s="21"/>
      <c r="H97" s="21"/>
      <c r="I97" s="21"/>
      <c r="J97" s="21" t="s">
        <v>578</v>
      </c>
      <c r="K97" s="21"/>
      <c r="L97" s="21"/>
      <c r="M97" s="21"/>
      <c r="N97" s="21"/>
      <c r="O97" s="21"/>
      <c r="P97" s="21"/>
      <c r="Q97" s="21"/>
      <c r="R97" s="22" t="n">
        <f aca="false">COUNTIF(E97:Q97,"●")</f>
        <v>1</v>
      </c>
    </row>
    <row r="99" customFormat="false" ht="15" hidden="false" customHeight="false" outlineLevel="0" collapsed="false">
      <c r="A99" s="17" t="s">
        <v>579</v>
      </c>
      <c r="D99" s="17" t="n">
        <f aca="false">COUNTIFS(C5:C97,"Yes",R5:R97,0)</f>
        <v>1</v>
      </c>
    </row>
    <row r="100" customFormat="false" ht="15" hidden="false" customHeight="false" outlineLevel="0" collapsed="false">
      <c r="A100" s="11" t="s">
        <v>580</v>
      </c>
    </row>
  </sheetData>
  <autoFilter ref="A4:R97"/>
  <conditionalFormatting sqref="E5:Q97">
    <cfRule type="cellIs" priority="2" operator="equal" aboveAverage="0" equalAverage="0" bottom="0" percent="0" rank="0" text="" dxfId="19">
      <formula>"●"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0" t="s">
        <v>581</v>
      </c>
    </row>
    <row r="2" customFormat="false" ht="15" hidden="false" customHeight="false" outlineLevel="0" collapsed="false">
      <c r="A2" s="11" t="s">
        <v>582</v>
      </c>
    </row>
    <row r="4" customFormat="false" ht="23.85" hidden="false" customHeight="false" outlineLevel="0" collapsed="false">
      <c r="A4" s="12" t="s">
        <v>583</v>
      </c>
      <c r="B4" s="12" t="s">
        <v>584</v>
      </c>
      <c r="C4" s="12" t="s">
        <v>538</v>
      </c>
      <c r="D4" s="12" t="s">
        <v>585</v>
      </c>
      <c r="E4" s="12" t="s">
        <v>586</v>
      </c>
      <c r="F4" s="12" t="s">
        <v>587</v>
      </c>
      <c r="G4" s="12" t="s">
        <v>588</v>
      </c>
    </row>
    <row r="5" customFormat="false" ht="15" hidden="false" customHeight="false" outlineLevel="0" collapsed="false">
      <c r="A5" s="13" t="s">
        <v>75</v>
      </c>
      <c r="B5" s="13" t="s">
        <v>589</v>
      </c>
      <c r="C5" s="13" t="s">
        <v>590</v>
      </c>
      <c r="D5" s="13" t="s">
        <v>591</v>
      </c>
      <c r="E5" s="13" t="s">
        <v>592</v>
      </c>
      <c r="F5" s="13" t="n">
        <f aca="false">COUNTIF(SoA!$G$2:$G$94,"*"&amp;A5&amp;"*")</f>
        <v>1</v>
      </c>
      <c r="G5" s="13"/>
    </row>
    <row r="6" customFormat="false" ht="15" hidden="false" customHeight="false" outlineLevel="0" collapsed="false">
      <c r="A6" s="13" t="s">
        <v>593</v>
      </c>
      <c r="B6" s="13" t="s">
        <v>594</v>
      </c>
      <c r="C6" s="13" t="s">
        <v>590</v>
      </c>
      <c r="D6" s="13" t="s">
        <v>591</v>
      </c>
      <c r="E6" s="13" t="s">
        <v>592</v>
      </c>
      <c r="F6" s="13" t="n">
        <f aca="false">COUNTIF(SoA!$G$2:$G$94,"*"&amp;A6&amp;"*")</f>
        <v>0</v>
      </c>
      <c r="G6" s="13" t="s">
        <v>595</v>
      </c>
    </row>
    <row r="7" customFormat="false" ht="15" hidden="false" customHeight="false" outlineLevel="0" collapsed="false">
      <c r="A7" s="13" t="s">
        <v>81</v>
      </c>
      <c r="B7" s="13" t="s">
        <v>596</v>
      </c>
      <c r="C7" s="13" t="s">
        <v>590</v>
      </c>
      <c r="D7" s="13" t="s">
        <v>591</v>
      </c>
      <c r="E7" s="13" t="s">
        <v>597</v>
      </c>
      <c r="F7" s="13" t="n">
        <f aca="false">COUNTIF(SoA!$G$2:$G$94,"*"&amp;A7&amp;"*")</f>
        <v>2</v>
      </c>
      <c r="G7" s="13"/>
    </row>
    <row r="8" customFormat="false" ht="15" hidden="false" customHeight="false" outlineLevel="0" collapsed="false">
      <c r="A8" s="13" t="s">
        <v>598</v>
      </c>
      <c r="B8" s="13" t="s">
        <v>599</v>
      </c>
      <c r="C8" s="13" t="s">
        <v>600</v>
      </c>
      <c r="D8" s="13" t="s">
        <v>601</v>
      </c>
      <c r="E8" s="13" t="s">
        <v>602</v>
      </c>
      <c r="F8" s="13" t="n">
        <f aca="false">COUNTIF(SoA!$G$2:$G$94,"*"&amp;A8&amp;"*")</f>
        <v>1</v>
      </c>
      <c r="G8" s="13"/>
    </row>
    <row r="9" customFormat="false" ht="15" hidden="false" customHeight="false" outlineLevel="0" collapsed="false">
      <c r="A9" s="13" t="s">
        <v>603</v>
      </c>
      <c r="B9" s="13" t="s">
        <v>604</v>
      </c>
      <c r="C9" s="13" t="s">
        <v>605</v>
      </c>
      <c r="D9" s="13" t="s">
        <v>606</v>
      </c>
      <c r="E9" s="13" t="s">
        <v>607</v>
      </c>
      <c r="F9" s="13" t="n">
        <f aca="false">COUNTIF(SoA!$G$2:$G$94,"*"&amp;A9&amp;"*")</f>
        <v>0</v>
      </c>
      <c r="G9" s="13" t="s">
        <v>608</v>
      </c>
    </row>
    <row r="10" customFormat="false" ht="15" hidden="false" customHeight="false" outlineLevel="0" collapsed="false">
      <c r="A10" s="13" t="s">
        <v>609</v>
      </c>
      <c r="B10" s="13" t="s">
        <v>610</v>
      </c>
      <c r="C10" s="13" t="s">
        <v>605</v>
      </c>
      <c r="D10" s="13" t="s">
        <v>606</v>
      </c>
      <c r="E10" s="13" t="s">
        <v>607</v>
      </c>
      <c r="F10" s="13" t="n">
        <f aca="false">COUNTIF(SoA!$G$2:$G$94,"*"&amp;A10&amp;"*")</f>
        <v>0</v>
      </c>
      <c r="G10" s="13" t="s">
        <v>611</v>
      </c>
    </row>
    <row r="11" customFormat="false" ht="15" hidden="false" customHeight="false" outlineLevel="0" collapsed="false">
      <c r="A11" s="13" t="s">
        <v>612</v>
      </c>
      <c r="B11" s="13" t="s">
        <v>613</v>
      </c>
      <c r="C11" s="13" t="s">
        <v>549</v>
      </c>
      <c r="D11" s="13" t="s">
        <v>614</v>
      </c>
      <c r="E11" s="13" t="s">
        <v>602</v>
      </c>
      <c r="F11" s="13" t="n">
        <f aca="false">COUNTIF(SoA!$G$2:$G$94,"*"&amp;A11&amp;"*")</f>
        <v>1</v>
      </c>
      <c r="G11" s="13"/>
    </row>
    <row r="12" customFormat="false" ht="15" hidden="false" customHeight="false" outlineLevel="0" collapsed="false">
      <c r="A12" s="13" t="s">
        <v>121</v>
      </c>
      <c r="B12" s="13" t="s">
        <v>615</v>
      </c>
      <c r="C12" s="13" t="s">
        <v>555</v>
      </c>
      <c r="D12" s="13" t="s">
        <v>616</v>
      </c>
      <c r="E12" s="13" t="s">
        <v>617</v>
      </c>
      <c r="F12" s="13" t="n">
        <f aca="false">COUNTIF(SoA!$G$2:$G$94,"*"&amp;A12&amp;"*")</f>
        <v>1</v>
      </c>
      <c r="G12" s="13"/>
    </row>
    <row r="13" customFormat="false" ht="15" hidden="false" customHeight="false" outlineLevel="0" collapsed="false">
      <c r="A13" s="13" t="s">
        <v>131</v>
      </c>
      <c r="B13" s="13" t="s">
        <v>618</v>
      </c>
      <c r="C13" s="13" t="s">
        <v>590</v>
      </c>
      <c r="D13" s="13" t="s">
        <v>591</v>
      </c>
      <c r="E13" s="13" t="s">
        <v>592</v>
      </c>
      <c r="F13" s="13" t="n">
        <f aca="false">COUNTIF(SoA!$G$2:$G$94,"*"&amp;A13&amp;"*")</f>
        <v>3</v>
      </c>
      <c r="G13" s="13"/>
    </row>
    <row r="14" customFormat="false" ht="15" hidden="false" customHeight="false" outlineLevel="0" collapsed="false">
      <c r="A14" s="13" t="s">
        <v>619</v>
      </c>
      <c r="B14" s="13" t="s">
        <v>620</v>
      </c>
      <c r="C14" s="13" t="s">
        <v>545</v>
      </c>
      <c r="D14" s="13" t="s">
        <v>591</v>
      </c>
      <c r="E14" s="13" t="s">
        <v>592</v>
      </c>
      <c r="F14" s="13" t="n">
        <f aca="false">COUNTIF(SoA!$G$2:$G$94,"*"&amp;A14&amp;"*")</f>
        <v>1</v>
      </c>
      <c r="G14" s="13"/>
    </row>
    <row r="15" customFormat="false" ht="15" hidden="false" customHeight="false" outlineLevel="0" collapsed="false">
      <c r="A15" s="13" t="s">
        <v>159</v>
      </c>
      <c r="B15" s="13" t="s">
        <v>621</v>
      </c>
      <c r="C15" s="13" t="s">
        <v>553</v>
      </c>
      <c r="D15" s="13" t="s">
        <v>622</v>
      </c>
      <c r="E15" s="13" t="s">
        <v>602</v>
      </c>
      <c r="F15" s="13" t="n">
        <f aca="false">COUNTIF(SoA!$G$2:$G$94,"*"&amp;A15&amp;"*")</f>
        <v>7</v>
      </c>
      <c r="G15" s="13"/>
    </row>
    <row r="16" customFormat="false" ht="15" hidden="false" customHeight="false" outlineLevel="0" collapsed="false">
      <c r="A16" s="13" t="s">
        <v>164</v>
      </c>
      <c r="B16" s="13" t="s">
        <v>623</v>
      </c>
      <c r="C16" s="13" t="s">
        <v>624</v>
      </c>
      <c r="D16" s="13" t="s">
        <v>625</v>
      </c>
      <c r="E16" s="13" t="s">
        <v>626</v>
      </c>
      <c r="F16" s="13" t="n">
        <f aca="false">COUNTIF(SoA!$G$2:$G$94,"*"&amp;A16&amp;"*")</f>
        <v>7</v>
      </c>
      <c r="G16" s="13"/>
    </row>
    <row r="17" customFormat="false" ht="15" hidden="false" customHeight="false" outlineLevel="0" collapsed="false">
      <c r="A17" s="13" t="s">
        <v>169</v>
      </c>
      <c r="B17" s="13" t="s">
        <v>627</v>
      </c>
      <c r="C17" s="13" t="s">
        <v>628</v>
      </c>
      <c r="D17" s="13" t="s">
        <v>629</v>
      </c>
      <c r="E17" s="13" t="s">
        <v>630</v>
      </c>
      <c r="F17" s="13" t="n">
        <f aca="false">COUNTIF(SoA!$G$2:$G$94,"*"&amp;A17&amp;"*")</f>
        <v>2</v>
      </c>
      <c r="G17" s="13"/>
    </row>
    <row r="18" customFormat="false" ht="15" hidden="false" customHeight="false" outlineLevel="0" collapsed="false">
      <c r="A18" s="13" t="s">
        <v>631</v>
      </c>
      <c r="B18" s="13" t="s">
        <v>632</v>
      </c>
      <c r="C18" s="13" t="s">
        <v>553</v>
      </c>
      <c r="D18" s="13" t="s">
        <v>591</v>
      </c>
      <c r="E18" s="13" t="s">
        <v>592</v>
      </c>
      <c r="F18" s="13" t="n">
        <f aca="false">COUNTIF(SoA!$G$2:$G$94,"*"&amp;A18&amp;"*")</f>
        <v>2</v>
      </c>
      <c r="G18" s="13"/>
    </row>
    <row r="19" customFormat="false" ht="15" hidden="false" customHeight="false" outlineLevel="0" collapsed="false">
      <c r="A19" s="13" t="s">
        <v>188</v>
      </c>
      <c r="B19" s="13" t="s">
        <v>633</v>
      </c>
      <c r="C19" s="13" t="s">
        <v>634</v>
      </c>
      <c r="D19" s="13" t="s">
        <v>635</v>
      </c>
      <c r="E19" s="13" t="s">
        <v>636</v>
      </c>
      <c r="F19" s="13" t="n">
        <f aca="false">COUNTIF(SoA!$G$2:$G$94,"*"&amp;A19&amp;"*")</f>
        <v>5</v>
      </c>
      <c r="G19" s="13"/>
    </row>
    <row r="20" customFormat="false" ht="15" hidden="false" customHeight="false" outlineLevel="0" collapsed="false">
      <c r="A20" s="13" t="s">
        <v>211</v>
      </c>
      <c r="B20" s="13" t="s">
        <v>637</v>
      </c>
      <c r="C20" s="13" t="s">
        <v>559</v>
      </c>
      <c r="D20" s="13" t="s">
        <v>601</v>
      </c>
      <c r="E20" s="13" t="s">
        <v>638</v>
      </c>
      <c r="F20" s="13" t="n">
        <f aca="false">COUNTIF(SoA!$G$2:$G$94,"*"&amp;A20&amp;"*")</f>
        <v>3</v>
      </c>
      <c r="G20" s="13"/>
    </row>
    <row r="21" customFormat="false" ht="15" hidden="false" customHeight="false" outlineLevel="0" collapsed="false">
      <c r="A21" s="13" t="s">
        <v>221</v>
      </c>
      <c r="B21" s="13" t="s">
        <v>639</v>
      </c>
      <c r="C21" s="13" t="s">
        <v>628</v>
      </c>
      <c r="D21" s="13" t="s">
        <v>601</v>
      </c>
      <c r="E21" s="13" t="s">
        <v>607</v>
      </c>
      <c r="F21" s="13" t="n">
        <f aca="false">COUNTIF(SoA!$G$2:$G$94,"*"&amp;A21&amp;"*")</f>
        <v>1</v>
      </c>
      <c r="G21" s="13"/>
    </row>
    <row r="22" customFormat="false" ht="15" hidden="false" customHeight="false" outlineLevel="0" collapsed="false">
      <c r="A22" s="13" t="s">
        <v>235</v>
      </c>
      <c r="B22" s="13" t="s">
        <v>640</v>
      </c>
      <c r="C22" s="13" t="s">
        <v>568</v>
      </c>
      <c r="D22" s="13" t="s">
        <v>641</v>
      </c>
      <c r="E22" s="13" t="s">
        <v>607</v>
      </c>
      <c r="F22" s="13" t="n">
        <f aca="false">COUNTIF(SoA!$G$2:$G$94,"*"&amp;A22&amp;"*")</f>
        <v>1</v>
      </c>
      <c r="G22" s="13"/>
    </row>
    <row r="23" customFormat="false" ht="15" hidden="false" customHeight="false" outlineLevel="0" collapsed="false">
      <c r="A23" s="13" t="s">
        <v>239</v>
      </c>
      <c r="B23" s="13" t="s">
        <v>642</v>
      </c>
      <c r="C23" s="13" t="s">
        <v>590</v>
      </c>
      <c r="D23" s="13" t="s">
        <v>643</v>
      </c>
      <c r="E23" s="13" t="s">
        <v>592</v>
      </c>
      <c r="F23" s="13" t="n">
        <f aca="false">COUNTIF(SoA!$G$2:$G$94,"*"&amp;A23&amp;"*")</f>
        <v>2</v>
      </c>
      <c r="G23" s="13"/>
    </row>
    <row r="24" customFormat="false" ht="15" hidden="false" customHeight="false" outlineLevel="0" collapsed="false">
      <c r="A24" s="13" t="s">
        <v>253</v>
      </c>
      <c r="B24" s="13" t="s">
        <v>644</v>
      </c>
      <c r="C24" s="13" t="s">
        <v>555</v>
      </c>
      <c r="D24" s="13" t="s">
        <v>616</v>
      </c>
      <c r="E24" s="13" t="s">
        <v>645</v>
      </c>
      <c r="F24" s="13" t="n">
        <f aca="false">COUNTIF(SoA!$G$2:$G$94,"*"&amp;A24&amp;"*")</f>
        <v>6</v>
      </c>
      <c r="G24" s="13"/>
    </row>
    <row r="25" customFormat="false" ht="15" hidden="false" customHeight="false" outlineLevel="0" collapsed="false">
      <c r="A25" s="13" t="s">
        <v>260</v>
      </c>
      <c r="B25" s="13" t="s">
        <v>646</v>
      </c>
      <c r="C25" s="13" t="s">
        <v>555</v>
      </c>
      <c r="D25" s="13" t="s">
        <v>647</v>
      </c>
      <c r="E25" s="13" t="s">
        <v>648</v>
      </c>
      <c r="F25" s="13" t="n">
        <f aca="false">COUNTIF(SoA!$G$2:$G$94,"*"&amp;A25&amp;"*")</f>
        <v>1</v>
      </c>
      <c r="G25" s="13"/>
    </row>
    <row r="26" customFormat="false" ht="15" hidden="false" customHeight="false" outlineLevel="0" collapsed="false">
      <c r="A26" s="13" t="s">
        <v>649</v>
      </c>
      <c r="B26" s="13" t="s">
        <v>650</v>
      </c>
      <c r="C26" s="13" t="s">
        <v>549</v>
      </c>
      <c r="D26" s="13" t="s">
        <v>591</v>
      </c>
      <c r="E26" s="13" t="s">
        <v>592</v>
      </c>
      <c r="F26" s="13" t="n">
        <f aca="false">COUNTIF(SoA!$G$2:$G$94,"*"&amp;A26&amp;"*")</f>
        <v>3</v>
      </c>
      <c r="G26" s="13"/>
    </row>
    <row r="27" customFormat="false" ht="15" hidden="false" customHeight="false" outlineLevel="0" collapsed="false">
      <c r="A27" s="13" t="s">
        <v>339</v>
      </c>
      <c r="B27" s="13" t="s">
        <v>651</v>
      </c>
      <c r="C27" s="13" t="s">
        <v>549</v>
      </c>
      <c r="D27" s="13" t="s">
        <v>652</v>
      </c>
      <c r="E27" s="13" t="s">
        <v>653</v>
      </c>
      <c r="F27" s="13" t="n">
        <f aca="false">COUNTIF(SoA!$G$2:$G$94,"*"&amp;A27&amp;"*")</f>
        <v>8</v>
      </c>
      <c r="G27" s="13"/>
    </row>
    <row r="28" customFormat="false" ht="15" hidden="false" customHeight="false" outlineLevel="0" collapsed="false">
      <c r="A28" s="13" t="s">
        <v>654</v>
      </c>
      <c r="B28" s="13" t="s">
        <v>655</v>
      </c>
      <c r="C28" s="13" t="s">
        <v>549</v>
      </c>
      <c r="D28" s="13" t="s">
        <v>656</v>
      </c>
      <c r="E28" s="13" t="s">
        <v>657</v>
      </c>
      <c r="F28" s="13" t="n">
        <f aca="false">COUNTIF(SoA!$G$2:$G$94,"*"&amp;A28&amp;"*")</f>
        <v>7</v>
      </c>
      <c r="G28" s="13"/>
    </row>
    <row r="29" customFormat="false" ht="15" hidden="false" customHeight="false" outlineLevel="0" collapsed="false">
      <c r="A29" s="13" t="s">
        <v>370</v>
      </c>
      <c r="B29" s="13" t="s">
        <v>658</v>
      </c>
      <c r="C29" s="13" t="s">
        <v>634</v>
      </c>
      <c r="D29" s="13" t="s">
        <v>659</v>
      </c>
      <c r="E29" s="13" t="s">
        <v>660</v>
      </c>
      <c r="F29" s="13" t="n">
        <f aca="false">COUNTIF(SoA!$G$2:$G$94,"*"&amp;A29&amp;"*")</f>
        <v>2</v>
      </c>
      <c r="G29" s="13"/>
    </row>
    <row r="30" customFormat="false" ht="15" hidden="false" customHeight="false" outlineLevel="0" collapsed="false">
      <c r="A30" s="13" t="s">
        <v>351</v>
      </c>
      <c r="B30" s="13" t="s">
        <v>661</v>
      </c>
      <c r="C30" s="13" t="s">
        <v>545</v>
      </c>
      <c r="D30" s="13" t="s">
        <v>662</v>
      </c>
      <c r="E30" s="13" t="s">
        <v>663</v>
      </c>
      <c r="F30" s="13" t="n">
        <f aca="false">COUNTIF(SoA!$G$2:$G$94,"*"&amp;A30&amp;"*")</f>
        <v>7</v>
      </c>
      <c r="G30" s="13"/>
    </row>
    <row r="31" customFormat="false" ht="15" hidden="false" customHeight="false" outlineLevel="0" collapsed="false">
      <c r="A31" s="13" t="s">
        <v>482</v>
      </c>
      <c r="B31" s="13" t="s">
        <v>664</v>
      </c>
      <c r="C31" s="13" t="s">
        <v>545</v>
      </c>
      <c r="D31" s="13" t="s">
        <v>665</v>
      </c>
      <c r="E31" s="13" t="s">
        <v>663</v>
      </c>
      <c r="F31" s="13" t="n">
        <f aca="false">COUNTIF(SoA!$G$2:$G$94,"*"&amp;A31&amp;"*")</f>
        <v>2</v>
      </c>
      <c r="G31" s="13"/>
    </row>
    <row r="32" customFormat="false" ht="15" hidden="false" customHeight="false" outlineLevel="0" collapsed="false">
      <c r="A32" s="13" t="s">
        <v>405</v>
      </c>
      <c r="B32" s="13" t="s">
        <v>666</v>
      </c>
      <c r="C32" s="13" t="s">
        <v>634</v>
      </c>
      <c r="D32" s="13" t="s">
        <v>667</v>
      </c>
      <c r="E32" s="13" t="s">
        <v>663</v>
      </c>
      <c r="F32" s="13" t="n">
        <f aca="false">COUNTIF(SoA!$G$2:$G$94,"*"&amp;A32&amp;"*")</f>
        <v>5</v>
      </c>
      <c r="G32" s="13"/>
    </row>
    <row r="33" customFormat="false" ht="15" hidden="false" customHeight="false" outlineLevel="0" collapsed="false">
      <c r="A33" s="13" t="s">
        <v>396</v>
      </c>
      <c r="B33" s="13" t="s">
        <v>668</v>
      </c>
      <c r="C33" s="13" t="s">
        <v>553</v>
      </c>
      <c r="D33" s="13" t="s">
        <v>669</v>
      </c>
      <c r="E33" s="13" t="s">
        <v>670</v>
      </c>
      <c r="F33" s="13" t="n">
        <f aca="false">COUNTIF(SoA!$G$2:$G$94,"*"&amp;A33&amp;"*")</f>
        <v>2</v>
      </c>
      <c r="G33" s="13"/>
    </row>
    <row r="34" customFormat="false" ht="15" hidden="false" customHeight="false" outlineLevel="0" collapsed="false">
      <c r="A34" s="13" t="s">
        <v>449</v>
      </c>
      <c r="B34" s="13" t="s">
        <v>671</v>
      </c>
      <c r="C34" s="13" t="s">
        <v>553</v>
      </c>
      <c r="D34" s="13" t="s">
        <v>672</v>
      </c>
      <c r="E34" s="13" t="s">
        <v>602</v>
      </c>
      <c r="F34" s="13" t="n">
        <f aca="false">COUNTIF(SoA!$G$2:$G$94,"*"&amp;A34&amp;"*")</f>
        <v>2</v>
      </c>
      <c r="G34" s="13"/>
    </row>
    <row r="35" customFormat="false" ht="15" hidden="false" customHeight="false" outlineLevel="0" collapsed="false">
      <c r="A35" s="13" t="s">
        <v>376</v>
      </c>
      <c r="B35" s="13" t="s">
        <v>673</v>
      </c>
      <c r="C35" s="13" t="s">
        <v>553</v>
      </c>
      <c r="D35" s="13" t="s">
        <v>674</v>
      </c>
      <c r="E35" s="13" t="s">
        <v>663</v>
      </c>
      <c r="F35" s="13" t="n">
        <f aca="false">COUNTIF(SoA!$G$2:$G$94,"*"&amp;A35&amp;"*")</f>
        <v>4</v>
      </c>
      <c r="G35" s="13"/>
    </row>
    <row r="36" customFormat="false" ht="15" hidden="false" customHeight="false" outlineLevel="0" collapsed="false">
      <c r="A36" s="13" t="s">
        <v>429</v>
      </c>
      <c r="B36" s="13" t="s">
        <v>675</v>
      </c>
      <c r="C36" s="13" t="s">
        <v>553</v>
      </c>
      <c r="D36" s="13" t="s">
        <v>676</v>
      </c>
      <c r="E36" s="13" t="s">
        <v>607</v>
      </c>
      <c r="F36" s="13" t="n">
        <f aca="false">COUNTIF(SoA!$G$2:$G$94,"*"&amp;A36&amp;"*")</f>
        <v>5</v>
      </c>
      <c r="G36" s="13"/>
    </row>
    <row r="37" customFormat="false" ht="15" hidden="false" customHeight="false" outlineLevel="0" collapsed="false">
      <c r="A37" s="13" t="s">
        <v>382</v>
      </c>
      <c r="B37" s="13" t="s">
        <v>677</v>
      </c>
      <c r="C37" s="13" t="s">
        <v>568</v>
      </c>
      <c r="D37" s="13" t="s">
        <v>678</v>
      </c>
      <c r="E37" s="13" t="s">
        <v>645</v>
      </c>
      <c r="F37" s="13" t="n">
        <f aca="false">COUNTIF(SoA!$G$2:$G$94,"*"&amp;A37&amp;"*")</f>
        <v>2</v>
      </c>
      <c r="G37" s="13"/>
    </row>
    <row r="38" customFormat="false" ht="15" hidden="false" customHeight="false" outlineLevel="0" collapsed="false">
      <c r="A38" s="13" t="s">
        <v>106</v>
      </c>
      <c r="B38" s="13" t="s">
        <v>679</v>
      </c>
      <c r="C38" s="13" t="s">
        <v>634</v>
      </c>
      <c r="D38" s="13" t="s">
        <v>635</v>
      </c>
      <c r="E38" s="13" t="s">
        <v>680</v>
      </c>
      <c r="F38" s="13" t="n">
        <f aca="false">COUNTIF(SoA!$G$2:$G$94,"*"&amp;A38&amp;"*")</f>
        <v>1</v>
      </c>
      <c r="G38" s="13"/>
    </row>
    <row r="39" customFormat="false" ht="15" hidden="false" customHeight="false" outlineLevel="0" collapsed="false">
      <c r="A39" s="13" t="s">
        <v>97</v>
      </c>
      <c r="B39" s="13" t="s">
        <v>681</v>
      </c>
      <c r="C39" s="13" t="s">
        <v>634</v>
      </c>
      <c r="D39" s="13" t="s">
        <v>601</v>
      </c>
      <c r="E39" s="13" t="s">
        <v>607</v>
      </c>
      <c r="F39" s="13" t="n">
        <f aca="false">COUNTIF(SoA!$G$2:$G$94,"*"&amp;A39&amp;"*")</f>
        <v>2</v>
      </c>
      <c r="G39" s="13"/>
    </row>
    <row r="40" customFormat="false" ht="15" hidden="false" customHeight="false" outlineLevel="0" collapsed="false">
      <c r="A40" s="13" t="s">
        <v>361</v>
      </c>
      <c r="B40" s="13" t="s">
        <v>682</v>
      </c>
      <c r="C40" s="13" t="s">
        <v>553</v>
      </c>
      <c r="D40" s="13" t="s">
        <v>683</v>
      </c>
      <c r="E40" s="13" t="s">
        <v>663</v>
      </c>
      <c r="F40" s="13" t="n">
        <f aca="false">COUNTIF(SoA!$G$2:$G$94,"*"&amp;A40&amp;"*")</f>
        <v>1</v>
      </c>
      <c r="G40" s="13"/>
    </row>
    <row r="41" customFormat="false" ht="15" hidden="false" customHeight="false" outlineLevel="0" collapsed="false">
      <c r="A41" s="13" t="s">
        <v>478</v>
      </c>
      <c r="B41" s="13" t="s">
        <v>684</v>
      </c>
      <c r="C41" s="13" t="s">
        <v>553</v>
      </c>
      <c r="D41" s="13" t="s">
        <v>685</v>
      </c>
      <c r="E41" s="13" t="s">
        <v>607</v>
      </c>
      <c r="F41" s="13" t="n">
        <f aca="false">COUNTIF(SoA!$G$2:$G$94,"*"&amp;A41&amp;"*")</f>
        <v>3</v>
      </c>
      <c r="G41" s="13"/>
    </row>
    <row r="42" customFormat="false" ht="15" hidden="false" customHeight="false" outlineLevel="0" collapsed="false">
      <c r="A42" s="13" t="s">
        <v>386</v>
      </c>
      <c r="B42" s="13" t="s">
        <v>686</v>
      </c>
      <c r="C42" s="13" t="s">
        <v>545</v>
      </c>
      <c r="D42" s="13" t="s">
        <v>687</v>
      </c>
      <c r="E42" s="13" t="s">
        <v>592</v>
      </c>
      <c r="F42" s="13" t="n">
        <f aca="false">COUNTIF(SoA!$G$2:$G$94,"*"&amp;A42&amp;"*")</f>
        <v>2</v>
      </c>
      <c r="G42" s="13"/>
    </row>
    <row r="43" customFormat="false" ht="15" hidden="false" customHeight="false" outlineLevel="0" collapsed="false">
      <c r="A43" s="13" t="s">
        <v>248</v>
      </c>
      <c r="B43" s="13" t="s">
        <v>688</v>
      </c>
      <c r="C43" s="13" t="s">
        <v>689</v>
      </c>
      <c r="D43" s="13" t="s">
        <v>690</v>
      </c>
      <c r="E43" s="13" t="s">
        <v>592</v>
      </c>
      <c r="F43" s="13" t="n">
        <f aca="false">COUNTIF(SoA!$G$2:$G$94,"*"&amp;A43&amp;"*")</f>
        <v>1</v>
      </c>
      <c r="G43" s="13"/>
    </row>
    <row r="44" customFormat="false" ht="15" hidden="false" customHeight="false" outlineLevel="0" collapsed="false">
      <c r="A44" s="13" t="s">
        <v>111</v>
      </c>
      <c r="B44" s="13" t="s">
        <v>691</v>
      </c>
      <c r="C44" s="13" t="s">
        <v>692</v>
      </c>
      <c r="D44" s="13" t="s">
        <v>693</v>
      </c>
      <c r="E44" s="13" t="s">
        <v>694</v>
      </c>
      <c r="F44" s="13" t="n">
        <f aca="false">COUNTIF(SoA!$G$2:$G$94,"*"&amp;A44&amp;"*")</f>
        <v>1</v>
      </c>
      <c r="G44" s="13"/>
    </row>
    <row r="45" customFormat="false" ht="15" hidden="false" customHeight="false" outlineLevel="0" collapsed="false">
      <c r="A45" s="13" t="s">
        <v>230</v>
      </c>
      <c r="B45" s="13" t="s">
        <v>695</v>
      </c>
      <c r="C45" s="13" t="s">
        <v>696</v>
      </c>
      <c r="D45" s="13" t="s">
        <v>697</v>
      </c>
      <c r="E45" s="13" t="s">
        <v>592</v>
      </c>
      <c r="F45" s="13" t="n">
        <f aca="false">COUNTIF(SoA!$G$2:$G$94,"*"&amp;A45&amp;"*")</f>
        <v>1</v>
      </c>
      <c r="G45" s="13"/>
    </row>
    <row r="46" customFormat="false" ht="15" hidden="false" customHeight="false" outlineLevel="0" collapsed="false">
      <c r="A46" s="13" t="s">
        <v>225</v>
      </c>
      <c r="B46" s="13" t="s">
        <v>698</v>
      </c>
      <c r="C46" s="13" t="s">
        <v>545</v>
      </c>
      <c r="D46" s="13" t="s">
        <v>699</v>
      </c>
      <c r="E46" s="13" t="s">
        <v>700</v>
      </c>
      <c r="F46" s="13" t="n">
        <f aca="false">COUNTIF(SoA!$G$2:$G$94,"*"&amp;A46&amp;"*")</f>
        <v>1</v>
      </c>
      <c r="G46" s="13"/>
    </row>
    <row r="47" customFormat="false" ht="15" hidden="false" customHeight="false" outlineLevel="0" collapsed="false">
      <c r="A47" s="13" t="s">
        <v>288</v>
      </c>
      <c r="B47" s="13" t="s">
        <v>701</v>
      </c>
      <c r="C47" s="13" t="s">
        <v>590</v>
      </c>
      <c r="D47" s="13" t="s">
        <v>601</v>
      </c>
      <c r="E47" s="13" t="s">
        <v>702</v>
      </c>
      <c r="F47" s="13" t="n">
        <f aca="false">COUNTIF(SoA!$G$2:$G$94,"*"&amp;A47&amp;"*")</f>
        <v>10</v>
      </c>
      <c r="G47" s="13"/>
    </row>
    <row r="48" customFormat="false" ht="15" hidden="false" customHeight="false" outlineLevel="0" collapsed="false">
      <c r="A48" s="13" t="s">
        <v>703</v>
      </c>
      <c r="B48" s="13" t="s">
        <v>704</v>
      </c>
      <c r="C48" s="13" t="s">
        <v>553</v>
      </c>
      <c r="D48" s="13" t="s">
        <v>705</v>
      </c>
      <c r="E48" s="13" t="s">
        <v>663</v>
      </c>
      <c r="F48" s="13" t="n">
        <f aca="false">COUNTIF(SoA!$G$2:$G$94,"*"&amp;A48&amp;"*")</f>
        <v>1</v>
      </c>
      <c r="G48" s="13"/>
    </row>
    <row r="49" customFormat="false" ht="15" hidden="false" customHeight="false" outlineLevel="0" collapsed="false">
      <c r="A49" s="13" t="s">
        <v>444</v>
      </c>
      <c r="B49" s="13" t="s">
        <v>706</v>
      </c>
      <c r="C49" s="13" t="s">
        <v>549</v>
      </c>
      <c r="D49" s="13" t="s">
        <v>652</v>
      </c>
      <c r="E49" s="13" t="s">
        <v>663</v>
      </c>
      <c r="F49" s="13" t="n">
        <f aca="false">COUNTIF(SoA!$G$2:$G$94,"*"&amp;A49&amp;"*")</f>
        <v>1</v>
      </c>
      <c r="G49" s="13"/>
    </row>
    <row r="50" customFormat="false" ht="15" hidden="false" customHeight="false" outlineLevel="0" collapsed="false">
      <c r="A50" s="13" t="s">
        <v>356</v>
      </c>
      <c r="B50" s="13" t="s">
        <v>707</v>
      </c>
      <c r="C50" s="13" t="s">
        <v>549</v>
      </c>
      <c r="D50" s="13" t="s">
        <v>708</v>
      </c>
      <c r="E50" s="13" t="s">
        <v>602</v>
      </c>
      <c r="F50" s="13" t="n">
        <f aca="false">COUNTIF(SoA!$G$2:$G$94,"*"&amp;A50&amp;"*")</f>
        <v>3</v>
      </c>
      <c r="G50" s="13"/>
    </row>
    <row r="51" customFormat="false" ht="15" hidden="false" customHeight="false" outlineLevel="0" collapsed="false">
      <c r="A51" s="13" t="s">
        <v>415</v>
      </c>
      <c r="B51" s="13" t="s">
        <v>709</v>
      </c>
      <c r="C51" s="13" t="s">
        <v>553</v>
      </c>
      <c r="D51" s="13" t="s">
        <v>710</v>
      </c>
      <c r="E51" s="13" t="s">
        <v>592</v>
      </c>
      <c r="F51" s="13" t="n">
        <f aca="false">COUNTIF(SoA!$G$2:$G$94,"*"&amp;A51&amp;"*")</f>
        <v>1</v>
      </c>
      <c r="G51" s="13"/>
    </row>
    <row r="52" customFormat="false" ht="15" hidden="false" customHeight="false" outlineLevel="0" collapsed="false">
      <c r="A52" s="13" t="s">
        <v>490</v>
      </c>
      <c r="B52" s="13" t="s">
        <v>711</v>
      </c>
      <c r="C52" s="13" t="s">
        <v>634</v>
      </c>
      <c r="D52" s="13" t="s">
        <v>601</v>
      </c>
      <c r="E52" s="13" t="s">
        <v>712</v>
      </c>
      <c r="F52" s="13" t="n">
        <f aca="false">COUNTIF(SoA!$G$2:$G$94,"*"&amp;A52&amp;"*")</f>
        <v>1</v>
      </c>
      <c r="G52" s="13"/>
    </row>
    <row r="53" customFormat="false" ht="15" hidden="false" customHeight="false" outlineLevel="0" collapsed="false">
      <c r="A53" s="13" t="s">
        <v>391</v>
      </c>
      <c r="B53" s="13" t="s">
        <v>713</v>
      </c>
      <c r="C53" s="13" t="s">
        <v>553</v>
      </c>
      <c r="D53" s="13" t="s">
        <v>714</v>
      </c>
      <c r="E53" s="13" t="s">
        <v>663</v>
      </c>
      <c r="F53" s="13" t="n">
        <f aca="false">COUNTIF(SoA!$G$2:$G$94,"*"&amp;A53&amp;"*")</f>
        <v>1</v>
      </c>
      <c r="G53" s="13"/>
    </row>
    <row r="54" customFormat="false" ht="15" hidden="false" customHeight="false" outlineLevel="0" collapsed="false">
      <c r="A54" s="13" t="s">
        <v>281</v>
      </c>
      <c r="B54" s="13" t="s">
        <v>715</v>
      </c>
      <c r="C54" s="13" t="s">
        <v>634</v>
      </c>
      <c r="D54" s="13" t="s">
        <v>716</v>
      </c>
      <c r="E54" s="13" t="s">
        <v>717</v>
      </c>
      <c r="F54" s="13" t="n">
        <f aca="false">COUNTIF(SoA!$G$2:$G$94,"*"&amp;A54&amp;"*")</f>
        <v>1</v>
      </c>
      <c r="G54" s="13"/>
    </row>
  </sheetData>
  <autoFilter ref="A4:G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8" min="7" style="0" width="13"/>
  </cols>
  <sheetData>
    <row r="1" customFormat="false" ht="17.35" hidden="false" customHeight="false" outlineLevel="0" collapsed="false">
      <c r="A1" s="10" t="s">
        <v>718</v>
      </c>
    </row>
    <row r="2" customFormat="false" ht="15" hidden="false" customHeight="false" outlineLevel="0" collapsed="false">
      <c r="A2" s="11" t="s">
        <v>719</v>
      </c>
    </row>
    <row r="4" customFormat="false" ht="23.85" hidden="false" customHeight="false" outlineLevel="0" collapsed="false">
      <c r="A4" s="12" t="s">
        <v>583</v>
      </c>
      <c r="B4" s="12" t="s">
        <v>61</v>
      </c>
      <c r="C4" s="12" t="s">
        <v>720</v>
      </c>
      <c r="D4" s="12" t="s">
        <v>721</v>
      </c>
      <c r="E4" s="12" t="s">
        <v>722</v>
      </c>
      <c r="F4" s="12" t="s">
        <v>723</v>
      </c>
      <c r="G4" s="12" t="s">
        <v>62</v>
      </c>
      <c r="H4" s="12" t="s">
        <v>724</v>
      </c>
    </row>
    <row r="5" customFormat="false" ht="22.35" hidden="false" customHeight="false" outlineLevel="0" collapsed="false">
      <c r="A5" s="13" t="s">
        <v>725</v>
      </c>
      <c r="B5" s="13" t="s">
        <v>726</v>
      </c>
      <c r="C5" s="13" t="s">
        <v>727</v>
      </c>
      <c r="D5" s="13" t="s">
        <v>549</v>
      </c>
      <c r="E5" s="23" t="n">
        <v>46346</v>
      </c>
      <c r="F5" s="13" t="s">
        <v>282</v>
      </c>
      <c r="G5" s="20" t="s">
        <v>728</v>
      </c>
      <c r="H5" s="13" t="n">
        <f aca="false">E5-DATE(2026,10,26)</f>
        <v>25</v>
      </c>
    </row>
    <row r="6" customFormat="false" ht="15" hidden="false" customHeight="false" outlineLevel="0" collapsed="false">
      <c r="A6" s="13" t="s">
        <v>729</v>
      </c>
      <c r="B6" s="13" t="s">
        <v>730</v>
      </c>
      <c r="C6" s="13" t="s">
        <v>731</v>
      </c>
      <c r="D6" s="13" t="s">
        <v>605</v>
      </c>
      <c r="E6" s="23" t="n">
        <v>46346</v>
      </c>
      <c r="F6" s="13" t="s">
        <v>732</v>
      </c>
      <c r="G6" s="20" t="s">
        <v>728</v>
      </c>
      <c r="H6" s="13" t="n">
        <f aca="false">E6-DATE(2026,10,26)</f>
        <v>25</v>
      </c>
    </row>
    <row r="7" customFormat="false" ht="15" hidden="false" customHeight="false" outlineLevel="0" collapsed="false">
      <c r="A7" s="13" t="s">
        <v>733</v>
      </c>
      <c r="B7" s="13" t="s">
        <v>734</v>
      </c>
      <c r="C7" s="13" t="s">
        <v>735</v>
      </c>
      <c r="D7" s="13" t="s">
        <v>590</v>
      </c>
      <c r="E7" s="23" t="n">
        <v>46346</v>
      </c>
      <c r="F7" s="13" t="s">
        <v>736</v>
      </c>
      <c r="G7" s="20" t="s">
        <v>728</v>
      </c>
      <c r="H7" s="13" t="n">
        <f aca="false">E7-DATE(2026,10,26)</f>
        <v>25</v>
      </c>
    </row>
    <row r="8" customFormat="false" ht="22.35" hidden="false" customHeight="false" outlineLevel="0" collapsed="false">
      <c r="A8" s="13" t="s">
        <v>179</v>
      </c>
      <c r="B8" s="13" t="s">
        <v>175</v>
      </c>
      <c r="C8" s="13" t="s">
        <v>737</v>
      </c>
      <c r="D8" s="13" t="s">
        <v>590</v>
      </c>
      <c r="E8" s="23" t="n">
        <v>46360</v>
      </c>
      <c r="F8" s="13" t="s">
        <v>178</v>
      </c>
      <c r="G8" s="20" t="s">
        <v>728</v>
      </c>
      <c r="H8" s="13" t="n">
        <f aca="false">E8-DATE(2026,10,26)</f>
        <v>39</v>
      </c>
    </row>
    <row r="9" customFormat="false" ht="15" hidden="false" customHeight="false" outlineLevel="0" collapsed="false">
      <c r="A9" s="13" t="s">
        <v>491</v>
      </c>
      <c r="B9" s="13" t="s">
        <v>487</v>
      </c>
      <c r="C9" s="13" t="s">
        <v>738</v>
      </c>
      <c r="D9" s="13" t="s">
        <v>634</v>
      </c>
      <c r="E9" s="23" t="n">
        <v>46360</v>
      </c>
      <c r="F9" s="13" t="s">
        <v>739</v>
      </c>
      <c r="G9" s="20" t="s">
        <v>728</v>
      </c>
      <c r="H9" s="13" t="n">
        <f aca="false">E9-DATE(2026,10,26)</f>
        <v>39</v>
      </c>
    </row>
    <row r="10" customFormat="false" ht="15" hidden="false" customHeight="false" outlineLevel="0" collapsed="false">
      <c r="A10" s="13" t="s">
        <v>445</v>
      </c>
      <c r="B10" s="13" t="s">
        <v>441</v>
      </c>
      <c r="C10" s="13" t="s">
        <v>740</v>
      </c>
      <c r="D10" s="13" t="s">
        <v>549</v>
      </c>
      <c r="E10" s="23" t="n">
        <v>46367</v>
      </c>
      <c r="F10" s="13" t="s">
        <v>102</v>
      </c>
      <c r="G10" s="20" t="s">
        <v>728</v>
      </c>
      <c r="H10" s="13" t="n">
        <f aca="false">E10-DATE(2026,10,26)</f>
        <v>46</v>
      </c>
    </row>
    <row r="11" customFormat="false" ht="15" hidden="false" customHeight="false" outlineLevel="0" collapsed="false">
      <c r="A11" s="13" t="s">
        <v>136</v>
      </c>
      <c r="B11" s="13" t="s">
        <v>133</v>
      </c>
      <c r="C11" s="13" t="s">
        <v>741</v>
      </c>
      <c r="D11" s="13" t="s">
        <v>590</v>
      </c>
      <c r="E11" s="23" t="n">
        <v>46374</v>
      </c>
      <c r="F11" s="13" t="s">
        <v>141</v>
      </c>
      <c r="G11" s="20" t="s">
        <v>728</v>
      </c>
      <c r="H11" s="13" t="n">
        <f aca="false">E11-DATE(2026,10,26)</f>
        <v>53</v>
      </c>
    </row>
    <row r="12" customFormat="false" ht="15" hidden="false" customHeight="false" outlineLevel="0" collapsed="false">
      <c r="A12" s="13" t="s">
        <v>207</v>
      </c>
      <c r="B12" s="13" t="s">
        <v>203</v>
      </c>
      <c r="C12" s="13" t="s">
        <v>742</v>
      </c>
      <c r="D12" s="13" t="s">
        <v>634</v>
      </c>
      <c r="E12" s="23" t="n">
        <v>46374</v>
      </c>
      <c r="F12" s="13" t="s">
        <v>146</v>
      </c>
      <c r="G12" s="20" t="s">
        <v>728</v>
      </c>
      <c r="H12" s="13" t="n">
        <f aca="false">E12-DATE(2026,10,26)</f>
        <v>53</v>
      </c>
    </row>
    <row r="13" customFormat="false" ht="15" hidden="false" customHeight="false" outlineLevel="0" collapsed="false">
      <c r="A13" s="13" t="s">
        <v>160</v>
      </c>
      <c r="B13" s="13" t="s">
        <v>156</v>
      </c>
      <c r="C13" s="13" t="s">
        <v>743</v>
      </c>
      <c r="D13" s="13" t="s">
        <v>553</v>
      </c>
      <c r="E13" s="23" t="n">
        <v>46374</v>
      </c>
      <c r="F13" s="13" t="s">
        <v>146</v>
      </c>
      <c r="G13" s="20" t="s">
        <v>728</v>
      </c>
      <c r="H13" s="13" t="n">
        <f aca="false">E13-DATE(2026,10,26)</f>
        <v>53</v>
      </c>
    </row>
    <row r="14" customFormat="false" ht="15" hidden="false" customHeight="false" outlineLevel="0" collapsed="false">
      <c r="A14" s="13" t="s">
        <v>378</v>
      </c>
      <c r="B14" s="13" t="s">
        <v>373</v>
      </c>
      <c r="C14" s="13" t="s">
        <v>744</v>
      </c>
      <c r="D14" s="13" t="s">
        <v>553</v>
      </c>
      <c r="E14" s="23" t="n">
        <v>46402</v>
      </c>
      <c r="F14" s="13" t="s">
        <v>377</v>
      </c>
      <c r="G14" s="20" t="s">
        <v>728</v>
      </c>
      <c r="H14" s="13" t="n">
        <f aca="false">E14-DATE(2026,10,26)</f>
        <v>81</v>
      </c>
    </row>
    <row r="15" customFormat="false" ht="15" hidden="false" customHeight="false" outlineLevel="0" collapsed="false">
      <c r="A15" s="13" t="s">
        <v>411</v>
      </c>
      <c r="B15" s="13" t="s">
        <v>407</v>
      </c>
      <c r="C15" s="13" t="s">
        <v>745</v>
      </c>
      <c r="D15" s="13" t="s">
        <v>634</v>
      </c>
      <c r="E15" s="23" t="n">
        <v>46402</v>
      </c>
      <c r="F15" s="13" t="s">
        <v>746</v>
      </c>
      <c r="G15" s="20" t="s">
        <v>728</v>
      </c>
      <c r="H15" s="13" t="n">
        <f aca="false">E15-DATE(2026,10,26)</f>
        <v>81</v>
      </c>
    </row>
    <row r="16" customFormat="false" ht="15" hidden="false" customHeight="false" outlineLevel="0" collapsed="false">
      <c r="A16" s="13" t="s">
        <v>372</v>
      </c>
      <c r="B16" s="13" t="s">
        <v>367</v>
      </c>
      <c r="C16" s="13" t="s">
        <v>747</v>
      </c>
      <c r="D16" s="13" t="s">
        <v>634</v>
      </c>
      <c r="E16" s="23" t="n">
        <v>46402</v>
      </c>
      <c r="F16" s="13" t="s">
        <v>371</v>
      </c>
      <c r="G16" s="20" t="s">
        <v>728</v>
      </c>
      <c r="H16" s="13" t="n">
        <f aca="false">E16-DATE(2026,10,26)</f>
        <v>81</v>
      </c>
    </row>
    <row r="17" customFormat="false" ht="15" hidden="false" customHeight="false" outlineLevel="0" collapsed="false">
      <c r="A17" s="13" t="s">
        <v>387</v>
      </c>
      <c r="B17" s="13" t="s">
        <v>383</v>
      </c>
      <c r="C17" s="13" t="s">
        <v>748</v>
      </c>
      <c r="D17" s="13" t="s">
        <v>545</v>
      </c>
      <c r="E17" s="23" t="n">
        <v>46402</v>
      </c>
      <c r="F17" s="13" t="s">
        <v>141</v>
      </c>
      <c r="G17" s="20" t="s">
        <v>728</v>
      </c>
      <c r="H17" s="13" t="n">
        <f aca="false">E17-DATE(2026,10,26)</f>
        <v>81</v>
      </c>
    </row>
    <row r="18" customFormat="false" ht="15" hidden="false" customHeight="false" outlineLevel="0" collapsed="false">
      <c r="A18" s="13" t="s">
        <v>486</v>
      </c>
      <c r="B18" s="13" t="s">
        <v>483</v>
      </c>
      <c r="C18" s="13" t="s">
        <v>749</v>
      </c>
      <c r="D18" s="13" t="s">
        <v>545</v>
      </c>
      <c r="E18" s="23" t="n">
        <v>46402</v>
      </c>
      <c r="F18" s="13" t="s">
        <v>141</v>
      </c>
      <c r="G18" s="20" t="s">
        <v>728</v>
      </c>
      <c r="H18" s="13" t="n">
        <f aca="false">E18-DATE(2026,10,26)</f>
        <v>81</v>
      </c>
    </row>
    <row r="19" customFormat="false" ht="15" hidden="false" customHeight="false" outlineLevel="0" collapsed="false">
      <c r="A19" s="13" t="s">
        <v>199</v>
      </c>
      <c r="B19" s="13" t="s">
        <v>195</v>
      </c>
      <c r="C19" s="13" t="s">
        <v>750</v>
      </c>
      <c r="D19" s="13" t="s">
        <v>634</v>
      </c>
      <c r="E19" s="23" t="n">
        <v>46409</v>
      </c>
      <c r="F19" s="13" t="s">
        <v>751</v>
      </c>
      <c r="G19" s="20" t="s">
        <v>728</v>
      </c>
      <c r="H19" s="13" t="n">
        <f aca="false">E19-DATE(2026,10,26)</f>
        <v>88</v>
      </c>
    </row>
    <row r="20" customFormat="false" ht="15" hidden="false" customHeight="false" outlineLevel="0" collapsed="false">
      <c r="A20" s="13" t="s">
        <v>343</v>
      </c>
      <c r="B20" s="13" t="s">
        <v>340</v>
      </c>
      <c r="C20" s="13" t="s">
        <v>752</v>
      </c>
      <c r="D20" s="13" t="s">
        <v>553</v>
      </c>
      <c r="E20" s="23" t="n">
        <v>46409</v>
      </c>
      <c r="F20" s="13" t="s">
        <v>87</v>
      </c>
      <c r="G20" s="20" t="s">
        <v>728</v>
      </c>
      <c r="H20" s="13" t="n">
        <f aca="false">E20-DATE(2026,10,26)</f>
        <v>88</v>
      </c>
    </row>
    <row r="21" customFormat="false" ht="15" hidden="false" customHeight="false" outlineLevel="0" collapsed="false">
      <c r="A21" s="13" t="s">
        <v>392</v>
      </c>
      <c r="B21" s="13" t="s">
        <v>388</v>
      </c>
      <c r="C21" s="13" t="s">
        <v>753</v>
      </c>
      <c r="D21" s="13" t="s">
        <v>553</v>
      </c>
      <c r="E21" s="23" t="n">
        <v>46416</v>
      </c>
      <c r="F21" s="13" t="s">
        <v>87</v>
      </c>
      <c r="G21" s="20" t="s">
        <v>728</v>
      </c>
      <c r="H21" s="13" t="n">
        <f aca="false">E21-DATE(2026,10,26)</f>
        <v>95</v>
      </c>
    </row>
    <row r="22" customFormat="false" ht="15" hidden="false" customHeight="false" outlineLevel="0" collapsed="false">
      <c r="A22" s="13" t="s">
        <v>217</v>
      </c>
      <c r="B22" s="13" t="s">
        <v>754</v>
      </c>
      <c r="C22" s="13" t="s">
        <v>755</v>
      </c>
      <c r="D22" s="13" t="s">
        <v>553</v>
      </c>
      <c r="E22" s="23" t="n">
        <v>46416</v>
      </c>
      <c r="F22" s="13" t="s">
        <v>756</v>
      </c>
      <c r="G22" s="20" t="s">
        <v>728</v>
      </c>
      <c r="H22" s="13" t="n">
        <f aca="false">E22-DATE(2026,10,26)</f>
        <v>95</v>
      </c>
    </row>
    <row r="23" customFormat="false" ht="15" hidden="false" customHeight="false" outlineLevel="0" collapsed="false">
      <c r="A23" s="13" t="s">
        <v>261</v>
      </c>
      <c r="B23" s="13" t="s">
        <v>257</v>
      </c>
      <c r="C23" s="13" t="s">
        <v>757</v>
      </c>
      <c r="D23" s="13" t="s">
        <v>555</v>
      </c>
      <c r="E23" s="23" t="n">
        <v>46416</v>
      </c>
      <c r="F23" s="13" t="s">
        <v>758</v>
      </c>
      <c r="G23" s="20" t="s">
        <v>728</v>
      </c>
      <c r="H23" s="13" t="n">
        <f aca="false">E23-DATE(2026,10,26)</f>
        <v>95</v>
      </c>
    </row>
    <row r="24" customFormat="false" ht="15" hidden="false" customHeight="false" outlineLevel="0" collapsed="false">
      <c r="A24" s="13" t="s">
        <v>240</v>
      </c>
      <c r="B24" s="13" t="s">
        <v>236</v>
      </c>
      <c r="C24" s="13" t="s">
        <v>759</v>
      </c>
      <c r="D24" s="13" t="s">
        <v>590</v>
      </c>
      <c r="E24" s="23" t="n">
        <v>46430</v>
      </c>
      <c r="F24" s="13" t="s">
        <v>760</v>
      </c>
      <c r="G24" s="20" t="s">
        <v>728</v>
      </c>
      <c r="H24" s="13" t="n">
        <f aca="false">E24-DATE(2026,10,26)</f>
        <v>109</v>
      </c>
    </row>
    <row r="26" customFormat="false" ht="15" hidden="false" customHeight="false" outlineLevel="0" collapsed="false">
      <c r="A26" s="11" t="s">
        <v>761</v>
      </c>
    </row>
  </sheetData>
  <dataValidations count="1">
    <dataValidation allowBlank="false" errorStyle="stop" operator="between" showDropDown="false" showErrorMessage="false" showInputMessage="false" sqref="G5:G24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0" t="s">
        <v>762</v>
      </c>
    </row>
    <row r="2" customFormat="false" ht="15" hidden="false" customHeight="false" outlineLevel="0" collapsed="false">
      <c r="A2" s="11" t="s">
        <v>763</v>
      </c>
    </row>
    <row r="4" customFormat="false" ht="15" hidden="false" customHeight="false" outlineLevel="0" collapsed="false">
      <c r="A4" s="12" t="s">
        <v>60</v>
      </c>
      <c r="B4" s="12" t="s">
        <v>764</v>
      </c>
      <c r="C4" s="12" t="s">
        <v>765</v>
      </c>
      <c r="D4" s="12" t="s">
        <v>766</v>
      </c>
      <c r="E4" s="12" t="s">
        <v>62</v>
      </c>
      <c r="F4" s="12" t="s">
        <v>64</v>
      </c>
    </row>
    <row r="5" customFormat="false" ht="15" hidden="false" customHeight="false" outlineLevel="0" collapsed="false">
      <c r="A5" s="13" t="s">
        <v>767</v>
      </c>
      <c r="B5" s="13" t="s">
        <v>768</v>
      </c>
      <c r="C5" s="13" t="s">
        <v>769</v>
      </c>
      <c r="D5" s="13" t="s">
        <v>770</v>
      </c>
      <c r="E5" s="13" t="s">
        <v>45</v>
      </c>
      <c r="F5" s="13" t="s">
        <v>771</v>
      </c>
    </row>
    <row r="6" customFormat="false" ht="15" hidden="false" customHeight="false" outlineLevel="0" collapsed="false">
      <c r="A6" s="13" t="s">
        <v>772</v>
      </c>
      <c r="B6" s="13" t="s">
        <v>773</v>
      </c>
      <c r="C6" s="13" t="s">
        <v>98</v>
      </c>
      <c r="D6" s="13" t="s">
        <v>774</v>
      </c>
      <c r="E6" s="13" t="s">
        <v>45</v>
      </c>
      <c r="F6" s="13" t="s">
        <v>775</v>
      </c>
    </row>
    <row r="7" customFormat="false" ht="22.35" hidden="false" customHeight="false" outlineLevel="0" collapsed="false">
      <c r="A7" s="13" t="s">
        <v>776</v>
      </c>
      <c r="B7" s="13" t="s">
        <v>777</v>
      </c>
      <c r="C7" s="13" t="s">
        <v>778</v>
      </c>
      <c r="D7" s="13" t="s">
        <v>779</v>
      </c>
      <c r="E7" s="13" t="s">
        <v>46</v>
      </c>
      <c r="F7" s="13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2026-10-27T04:12:12Z</dcterms:created>
  <dc:creator>openpyxl</dc:creator>
  <dc:description/>
  <dc:language>en-US</dc:language>
  <cp:lastModifiedBy/>
  <dcterms:modified xsi:type="dcterms:W3CDTF">2026-10-27T04:12:12Z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